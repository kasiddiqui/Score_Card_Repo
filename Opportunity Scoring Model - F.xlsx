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frao.JMICO\AppData\Local\Microsoft\Windows\INetCache\Content.Outlook\MC9GMXCE\"/>
    </mc:Choice>
  </mc:AlternateContent>
  <xr:revisionPtr revIDLastSave="0" documentId="8_{F3D8222D-CB47-4614-9528-03BF73419DB0}" xr6:coauthVersionLast="47" xr6:coauthVersionMax="47" xr10:uidLastSave="{00000000-0000-0000-0000-000000000000}"/>
  <bookViews>
    <workbookView xWindow="-98" yWindow="-98" windowWidth="21795" windowHeight="12975" tabRatio="831" firstSheet="1" activeTab="4" xr2:uid="{8C908AF0-F0DF-45A3-9F49-B36F8589AE25}"/>
  </bookViews>
  <sheets>
    <sheet name="Agenda Draft 01" sheetId="1" state="hidden" r:id="rId1"/>
    <sheet name="Title" sheetId="7" r:id="rId2"/>
    <sheet name="Agenda V01" sheetId="2" r:id="rId3"/>
    <sheet name="WS" sheetId="3" state="hidden" r:id="rId4"/>
    <sheet name="Opportunity Scoring Model" sheetId="4" r:id="rId5"/>
    <sheet name="OSM Field" sheetId="8" r:id="rId6"/>
    <sheet name="OSM - Rating and Score" sheetId="5" r:id="rId7"/>
    <sheet name="Progress Dashboard" sheetId="6" r:id="rId8"/>
  </sheets>
  <definedNames>
    <definedName name="_xlnm._FilterDatabase" localSheetId="0" hidden="1">'Agenda Draft 01'!$A$1:$E$13</definedName>
    <definedName name="_xlnm._FilterDatabase" localSheetId="4" hidden="1">'Opportunity Scoring Model'!$B$4:$DD$74</definedName>
    <definedName name="_xlnm._FilterDatabase" localSheetId="5" hidden="1">'OSM Field'!#REF!</definedName>
    <definedName name="_xlnm.Print_Titles" localSheetId="2">'Agenda V01'!$1:$4</definedName>
  </definedNames>
  <calcPr calcId="191029" concurrentManualCount="1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C71" i="4" l="1"/>
  <c r="DA71" i="4"/>
  <c r="CY71" i="4"/>
  <c r="CW71" i="4"/>
  <c r="CU71" i="4"/>
  <c r="CS71" i="4"/>
  <c r="CQ71" i="4"/>
  <c r="CO71" i="4"/>
  <c r="CK71" i="4"/>
  <c r="CI71" i="4"/>
  <c r="CE71" i="4"/>
  <c r="CC71" i="4"/>
  <c r="BY71" i="4"/>
  <c r="BW71" i="4"/>
  <c r="BU71" i="4"/>
  <c r="BS71" i="4"/>
  <c r="BO71" i="4"/>
  <c r="BM71" i="4"/>
  <c r="AC71" i="4"/>
  <c r="DC69" i="4"/>
  <c r="DA69" i="4"/>
  <c r="CY69" i="4"/>
  <c r="CW69" i="4"/>
  <c r="CU69" i="4"/>
  <c r="CS69" i="4"/>
  <c r="CQ69" i="4"/>
  <c r="CO69" i="4"/>
  <c r="CK69" i="4"/>
  <c r="CI69" i="4"/>
  <c r="CE69" i="4"/>
  <c r="CC69" i="4"/>
  <c r="BY69" i="4"/>
  <c r="BW69" i="4"/>
  <c r="BU69" i="4"/>
  <c r="BS69" i="4"/>
  <c r="BO69" i="4"/>
  <c r="BM69" i="4"/>
  <c r="AC69" i="4"/>
  <c r="CG69" i="4" s="1"/>
  <c r="AC75" i="4"/>
  <c r="DC74" i="4"/>
  <c r="DA74" i="4"/>
  <c r="CY74" i="4"/>
  <c r="CW74" i="4"/>
  <c r="CU74" i="4"/>
  <c r="CS74" i="4"/>
  <c r="CQ74" i="4"/>
  <c r="CO74" i="4"/>
  <c r="CK74" i="4"/>
  <c r="CI74" i="4"/>
  <c r="CE74" i="4"/>
  <c r="CC74" i="4"/>
  <c r="BY74" i="4"/>
  <c r="BW74" i="4"/>
  <c r="BU74" i="4"/>
  <c r="BS74" i="4"/>
  <c r="BO74" i="4"/>
  <c r="AC74" i="4"/>
  <c r="BA74" i="4" s="1"/>
  <c r="DC73" i="4"/>
  <c r="DA73" i="4"/>
  <c r="CY73" i="4"/>
  <c r="CW73" i="4"/>
  <c r="CU73" i="4"/>
  <c r="CS73" i="4"/>
  <c r="CQ73" i="4"/>
  <c r="CO73" i="4"/>
  <c r="CK73" i="4"/>
  <c r="CI73" i="4"/>
  <c r="CE73" i="4"/>
  <c r="CC73" i="4"/>
  <c r="BY73" i="4"/>
  <c r="BW73" i="4"/>
  <c r="BU73" i="4"/>
  <c r="BS73" i="4"/>
  <c r="BO73" i="4"/>
  <c r="BM73" i="4"/>
  <c r="BC73" i="4"/>
  <c r="BE73" i="4" s="1"/>
  <c r="AC73" i="4"/>
  <c r="CG73" i="4" s="1"/>
  <c r="DC72" i="4"/>
  <c r="DA72" i="4"/>
  <c r="CY72" i="4"/>
  <c r="CW72" i="4"/>
  <c r="CU72" i="4"/>
  <c r="CS72" i="4"/>
  <c r="CQ72" i="4"/>
  <c r="CO72" i="4"/>
  <c r="CK72" i="4"/>
  <c r="CI72" i="4"/>
  <c r="CE72" i="4"/>
  <c r="CC72" i="4"/>
  <c r="BY72" i="4"/>
  <c r="AC72" i="4"/>
  <c r="DC70" i="4"/>
  <c r="DA70" i="4"/>
  <c r="CY70" i="4"/>
  <c r="CW70" i="4"/>
  <c r="CU70" i="4"/>
  <c r="CS70" i="4"/>
  <c r="CQ70" i="4"/>
  <c r="CO70" i="4"/>
  <c r="CK70" i="4"/>
  <c r="AC70" i="4"/>
  <c r="DC68" i="4"/>
  <c r="DA68" i="4"/>
  <c r="CY68" i="4"/>
  <c r="CW68" i="4"/>
  <c r="AC68" i="4"/>
  <c r="AC67" i="4"/>
  <c r="BA67" i="4" s="1"/>
  <c r="DC66" i="4"/>
  <c r="DA66" i="4"/>
  <c r="CY66" i="4"/>
  <c r="CW66" i="4"/>
  <c r="CU66" i="4"/>
  <c r="AC66" i="4"/>
  <c r="DC65" i="4"/>
  <c r="DA65" i="4"/>
  <c r="CY65" i="4"/>
  <c r="CW65" i="4"/>
  <c r="CU65" i="4"/>
  <c r="CS65" i="4"/>
  <c r="CQ65" i="4"/>
  <c r="CO65" i="4"/>
  <c r="CK65" i="4"/>
  <c r="CI65" i="4"/>
  <c r="CE65" i="4"/>
  <c r="CC65" i="4"/>
  <c r="BY65" i="4"/>
  <c r="BW65" i="4"/>
  <c r="BU65" i="4"/>
  <c r="BS65" i="4"/>
  <c r="BO65" i="4"/>
  <c r="BM65" i="4"/>
  <c r="AC65" i="4"/>
  <c r="BA65" i="4" s="1"/>
  <c r="DC64" i="4"/>
  <c r="DA64" i="4"/>
  <c r="CY64" i="4"/>
  <c r="CW64" i="4"/>
  <c r="CU64" i="4"/>
  <c r="AC64" i="4"/>
  <c r="BA64" i="4" s="1"/>
  <c r="DC63" i="4"/>
  <c r="DA63" i="4"/>
  <c r="CY63" i="4"/>
  <c r="CW63" i="4"/>
  <c r="CU63" i="4"/>
  <c r="CS63" i="4"/>
  <c r="CQ63" i="4"/>
  <c r="CO63" i="4"/>
  <c r="CK63" i="4"/>
  <c r="CI63" i="4"/>
  <c r="CE63" i="4"/>
  <c r="CC63" i="4"/>
  <c r="BY63" i="4"/>
  <c r="BW63" i="4"/>
  <c r="BU63" i="4"/>
  <c r="BS63" i="4"/>
  <c r="BO63" i="4"/>
  <c r="BM63" i="4"/>
  <c r="AC63" i="4"/>
  <c r="BA63" i="4" s="1"/>
  <c r="DC62" i="4"/>
  <c r="DA62" i="4"/>
  <c r="CY62" i="4"/>
  <c r="CW62" i="4"/>
  <c r="CU62" i="4"/>
  <c r="AC62" i="4"/>
  <c r="CG62" i="4" s="1"/>
  <c r="DC61" i="4"/>
  <c r="DA61" i="4"/>
  <c r="CY61" i="4"/>
  <c r="CW61" i="4"/>
  <c r="CU61" i="4"/>
  <c r="CS61" i="4"/>
  <c r="CQ61" i="4"/>
  <c r="CO61" i="4"/>
  <c r="CK61" i="4"/>
  <c r="CI61" i="4"/>
  <c r="CE61" i="4"/>
  <c r="CC61" i="4"/>
  <c r="BY61" i="4"/>
  <c r="BW61" i="4"/>
  <c r="BU61" i="4"/>
  <c r="BS61" i="4"/>
  <c r="BO61" i="4"/>
  <c r="BM61" i="4"/>
  <c r="AC61" i="4"/>
  <c r="BA61" i="4" s="1"/>
  <c r="DC60" i="4"/>
  <c r="DA60" i="4"/>
  <c r="CY60" i="4"/>
  <c r="CW60" i="4"/>
  <c r="CU60" i="4"/>
  <c r="CS60" i="4"/>
  <c r="AC60" i="4"/>
  <c r="BA60" i="4" s="1"/>
  <c r="DC59" i="4"/>
  <c r="DA59" i="4"/>
  <c r="CY59" i="4"/>
  <c r="CW59" i="4"/>
  <c r="CU59" i="4"/>
  <c r="CS59" i="4"/>
  <c r="CQ59" i="4"/>
  <c r="CO59" i="4"/>
  <c r="CK59" i="4"/>
  <c r="CI59" i="4"/>
  <c r="CE59" i="4"/>
  <c r="CC59" i="4"/>
  <c r="BY59" i="4"/>
  <c r="BW59" i="4"/>
  <c r="BU59" i="4"/>
  <c r="BS59" i="4"/>
  <c r="BO59" i="4"/>
  <c r="BM59" i="4"/>
  <c r="AC59" i="4"/>
  <c r="CG59" i="4" s="1"/>
  <c r="DC35" i="4"/>
  <c r="CE35" i="4"/>
  <c r="CC35" i="4"/>
  <c r="AC35" i="4"/>
  <c r="BA35" i="4" s="1"/>
  <c r="CE37" i="4"/>
  <c r="CC37" i="4"/>
  <c r="AC37" i="4"/>
  <c r="BA37" i="4" s="1"/>
  <c r="AC39" i="4"/>
  <c r="BA39" i="4" s="1"/>
  <c r="AC41" i="4"/>
  <c r="BA41" i="4" s="1"/>
  <c r="AC43" i="4"/>
  <c r="BA43" i="4" s="1"/>
  <c r="AC45" i="4"/>
  <c r="BA45" i="4" s="1"/>
  <c r="AC47" i="4"/>
  <c r="BA47" i="4" s="1"/>
  <c r="AC49" i="4"/>
  <c r="BA49" i="4" s="1"/>
  <c r="AC51" i="4"/>
  <c r="BA51" i="4" s="1"/>
  <c r="AC53" i="4"/>
  <c r="BA53" i="4" s="1"/>
  <c r="AC55" i="4"/>
  <c r="BA55" i="4" s="1"/>
  <c r="AC10" i="4"/>
  <c r="BA10" i="4" s="1"/>
  <c r="AC12" i="4"/>
  <c r="BA12" i="4" s="1"/>
  <c r="AC33" i="4"/>
  <c r="BA33" i="4" s="1"/>
  <c r="AC57" i="4"/>
  <c r="BA57" i="4" s="1"/>
  <c r="AC31" i="4"/>
  <c r="AC29" i="4"/>
  <c r="AC27" i="4"/>
  <c r="AC25" i="4"/>
  <c r="BA25" i="4" s="1"/>
  <c r="AC23" i="4"/>
  <c r="BA23" i="4" s="1"/>
  <c r="AC20" i="4"/>
  <c r="BA20" i="4" s="1"/>
  <c r="AC18" i="4"/>
  <c r="BA18" i="4" s="1"/>
  <c r="AC16" i="4"/>
  <c r="BA14" i="4"/>
  <c r="G114" i="5"/>
  <c r="I114" i="5"/>
  <c r="G115" i="5" s="1"/>
  <c r="G116" i="5"/>
  <c r="G117" i="5"/>
  <c r="G118" i="5"/>
  <c r="I117" i="5"/>
  <c r="I116" i="5"/>
  <c r="I115" i="5"/>
  <c r="I113" i="5"/>
  <c r="G113" i="5"/>
  <c r="B111" i="5"/>
  <c r="CM6" i="4"/>
  <c r="DA6" i="4"/>
  <c r="CG6" i="4"/>
  <c r="CG14" i="4" s="1"/>
  <c r="CE6" i="4"/>
  <c r="CC6" i="4"/>
  <c r="DC6" i="4"/>
  <c r="CY6" i="4"/>
  <c r="CW6" i="4"/>
  <c r="CU6" i="4"/>
  <c r="CS6" i="4"/>
  <c r="CQ6" i="4"/>
  <c r="CO6" i="4"/>
  <c r="CK6" i="4"/>
  <c r="CI6" i="4"/>
  <c r="CA6" i="4"/>
  <c r="BY6" i="4"/>
  <c r="BW6" i="4"/>
  <c r="BU6" i="4"/>
  <c r="BS6" i="4"/>
  <c r="BO6" i="4"/>
  <c r="BM6" i="4"/>
  <c r="B6" i="8"/>
  <c r="B7" i="8" s="1"/>
  <c r="B8" i="8" s="1"/>
  <c r="B9" i="8" s="1"/>
  <c r="B10" i="8" s="1"/>
  <c r="B12" i="8" s="1"/>
  <c r="B13" i="8" s="1"/>
  <c r="B14" i="8" s="1"/>
  <c r="B15" i="8" s="1"/>
  <c r="B16" i="8" s="1"/>
  <c r="B17" i="8" s="1"/>
  <c r="B19" i="8" s="1"/>
  <c r="B20" i="8" s="1"/>
  <c r="B21" i="8" s="1"/>
  <c r="B22" i="8" s="1"/>
  <c r="B23" i="8" s="1"/>
  <c r="B24" i="8" s="1"/>
  <c r="B25" i="8" s="1"/>
  <c r="B26" i="8" s="1"/>
  <c r="E2" i="8"/>
  <c r="AC8" i="4"/>
  <c r="BA8" i="4" s="1"/>
  <c r="B42" i="5"/>
  <c r="B2" i="5"/>
  <c r="B3" i="5"/>
  <c r="B63" i="5"/>
  <c r="B33" i="5"/>
  <c r="BC69" i="4" l="1"/>
  <c r="BE69" i="4" s="1"/>
  <c r="BA69" i="4"/>
  <c r="CG71" i="4"/>
  <c r="BC71" i="4" s="1"/>
  <c r="BE71" i="4" s="1"/>
  <c r="BA71" i="4"/>
  <c r="CG68" i="4"/>
  <c r="BA75" i="4"/>
  <c r="CG75" i="4"/>
  <c r="BA72" i="4"/>
  <c r="CG72" i="4"/>
  <c r="BA70" i="4"/>
  <c r="CG70" i="4"/>
  <c r="BA66" i="4"/>
  <c r="CG66" i="4"/>
  <c r="DA8" i="4"/>
  <c r="DA75" i="4"/>
  <c r="DA39" i="4"/>
  <c r="DA67" i="4"/>
  <c r="CE20" i="4"/>
  <c r="CE67" i="4"/>
  <c r="CE68" i="4"/>
  <c r="CE39" i="4"/>
  <c r="CE75" i="4"/>
  <c r="CE60" i="4"/>
  <c r="CE64" i="4"/>
  <c r="CE62" i="4"/>
  <c r="CE70" i="4"/>
  <c r="CE66" i="4"/>
  <c r="CC20" i="4"/>
  <c r="CC68" i="4"/>
  <c r="CC64" i="4"/>
  <c r="CC39" i="4"/>
  <c r="CC75" i="4"/>
  <c r="CC60" i="4"/>
  <c r="CC62" i="4"/>
  <c r="CC70" i="4"/>
  <c r="CC66" i="4"/>
  <c r="CC67" i="4"/>
  <c r="DC27" i="4"/>
  <c r="DC67" i="4"/>
  <c r="DC75" i="4"/>
  <c r="CY27" i="4"/>
  <c r="CY67" i="4"/>
  <c r="CY75" i="4"/>
  <c r="CW23" i="4"/>
  <c r="CW67" i="4"/>
  <c r="CW75" i="4"/>
  <c r="CU33" i="4"/>
  <c r="CU75" i="4"/>
  <c r="CU67" i="4"/>
  <c r="CU68" i="4"/>
  <c r="CS18" i="4"/>
  <c r="CS75" i="4"/>
  <c r="CS64" i="4"/>
  <c r="CS68" i="4"/>
  <c r="CS66" i="4"/>
  <c r="CS67" i="4"/>
  <c r="CS62" i="4"/>
  <c r="CQ12" i="4"/>
  <c r="CQ68" i="4"/>
  <c r="CQ62" i="4"/>
  <c r="CQ67" i="4"/>
  <c r="CQ75" i="4"/>
  <c r="CQ66" i="4"/>
  <c r="CQ60" i="4"/>
  <c r="CQ64" i="4"/>
  <c r="CO8" i="4"/>
  <c r="CO66" i="4"/>
  <c r="CO67" i="4"/>
  <c r="CO64" i="4"/>
  <c r="CO62" i="4"/>
  <c r="CO60" i="4"/>
  <c r="CO75" i="4"/>
  <c r="CO68" i="4"/>
  <c r="CK8" i="4"/>
  <c r="CK66" i="4"/>
  <c r="CK68" i="4"/>
  <c r="CK67" i="4"/>
  <c r="CK62" i="4"/>
  <c r="CK64" i="4"/>
  <c r="CK60" i="4"/>
  <c r="CK75" i="4"/>
  <c r="CI8" i="4"/>
  <c r="CI66" i="4"/>
  <c r="CI70" i="4"/>
  <c r="CI68" i="4"/>
  <c r="CI62" i="4"/>
  <c r="CI64" i="4"/>
  <c r="CI60" i="4"/>
  <c r="CI67" i="4"/>
  <c r="CI75" i="4"/>
  <c r="BY8" i="4"/>
  <c r="BY68" i="4"/>
  <c r="BY67" i="4"/>
  <c r="BY70" i="4"/>
  <c r="BY66" i="4"/>
  <c r="BY64" i="4"/>
  <c r="BY62" i="4"/>
  <c r="BY75" i="4"/>
  <c r="BY60" i="4"/>
  <c r="BW8" i="4"/>
  <c r="BW75" i="4"/>
  <c r="BW72" i="4"/>
  <c r="BW64" i="4"/>
  <c r="BW68" i="4"/>
  <c r="BW60" i="4"/>
  <c r="BW67" i="4"/>
  <c r="BW62" i="4"/>
  <c r="BW70" i="4"/>
  <c r="BW66" i="4"/>
  <c r="BU8" i="4"/>
  <c r="BU67" i="4"/>
  <c r="BU72" i="4"/>
  <c r="BU64" i="4"/>
  <c r="BU62" i="4"/>
  <c r="BU68" i="4"/>
  <c r="BU70" i="4"/>
  <c r="BU75" i="4"/>
  <c r="BU66" i="4"/>
  <c r="BU60" i="4"/>
  <c r="BS8" i="4"/>
  <c r="BS67" i="4"/>
  <c r="BS64" i="4"/>
  <c r="BS72" i="4"/>
  <c r="BS68" i="4"/>
  <c r="BS66" i="4"/>
  <c r="BS62" i="4"/>
  <c r="BS70" i="4"/>
  <c r="BS60" i="4"/>
  <c r="BS75" i="4"/>
  <c r="BO8" i="4"/>
  <c r="BO62" i="4"/>
  <c r="BO68" i="4"/>
  <c r="BO66" i="4"/>
  <c r="BO72" i="4"/>
  <c r="BO67" i="4"/>
  <c r="BO64" i="4"/>
  <c r="BO60" i="4"/>
  <c r="BO75" i="4"/>
  <c r="BO70" i="4"/>
  <c r="BM33" i="4"/>
  <c r="BM67" i="4"/>
  <c r="BM70" i="4"/>
  <c r="BC70" i="4" s="1"/>
  <c r="BE70" i="4" s="1"/>
  <c r="BM62" i="4"/>
  <c r="BM66" i="4"/>
  <c r="BM60" i="4"/>
  <c r="BM74" i="4"/>
  <c r="BC74" i="4" s="1"/>
  <c r="BE74" i="4" s="1"/>
  <c r="BM75" i="4"/>
  <c r="BC75" i="4" s="1"/>
  <c r="BE75" i="4" s="1"/>
  <c r="BM72" i="4"/>
  <c r="BM68" i="4"/>
  <c r="BC68" i="4" s="1"/>
  <c r="BE68" i="4" s="1"/>
  <c r="BM64" i="4"/>
  <c r="BA68" i="4"/>
  <c r="CG67" i="4"/>
  <c r="CG65" i="4"/>
  <c r="BC65" i="4" s="1"/>
  <c r="BE65" i="4" s="1"/>
  <c r="CG64" i="4"/>
  <c r="CG61" i="4"/>
  <c r="BC61" i="4" s="1"/>
  <c r="BE61" i="4" s="1"/>
  <c r="BC59" i="4"/>
  <c r="BE59" i="4" s="1"/>
  <c r="CG63" i="4"/>
  <c r="BC63" i="4" s="1"/>
  <c r="BE63" i="4" s="1"/>
  <c r="CG60" i="4"/>
  <c r="CG74" i="4"/>
  <c r="BA62" i="4"/>
  <c r="BA59" i="4"/>
  <c r="BA73" i="4"/>
  <c r="BW35" i="4"/>
  <c r="BY35" i="4"/>
  <c r="BY37" i="4"/>
  <c r="CG35" i="4"/>
  <c r="CG37" i="4"/>
  <c r="CI35" i="4"/>
  <c r="CK35" i="4"/>
  <c r="BW41" i="4"/>
  <c r="CO35" i="4"/>
  <c r="BY41" i="4"/>
  <c r="CQ35" i="4"/>
  <c r="CS35" i="4"/>
  <c r="BY39" i="4"/>
  <c r="BM35" i="4"/>
  <c r="CU35" i="4"/>
  <c r="BO35" i="4"/>
  <c r="CW35" i="4"/>
  <c r="BS35" i="4"/>
  <c r="CY35" i="4"/>
  <c r="CG39" i="4"/>
  <c r="BU35" i="4"/>
  <c r="DA35" i="4"/>
  <c r="CO37" i="4"/>
  <c r="CK41" i="4"/>
  <c r="CQ37" i="4"/>
  <c r="CW41" i="4"/>
  <c r="CW37" i="4"/>
  <c r="BU37" i="4"/>
  <c r="DA37" i="4"/>
  <c r="CI37" i="4"/>
  <c r="CK37" i="4"/>
  <c r="CO41" i="4"/>
  <c r="CS37" i="4"/>
  <c r="CQ41" i="4"/>
  <c r="BM37" i="4"/>
  <c r="CU37" i="4"/>
  <c r="BO37" i="4"/>
  <c r="DC41" i="4"/>
  <c r="BS37" i="4"/>
  <c r="CY37" i="4"/>
  <c r="BO39" i="4"/>
  <c r="BW37" i="4"/>
  <c r="DC37" i="4"/>
  <c r="CQ43" i="4"/>
  <c r="CQ39" i="4"/>
  <c r="CS43" i="4"/>
  <c r="CS39" i="4"/>
  <c r="CU43" i="4"/>
  <c r="BM39" i="4"/>
  <c r="CU39" i="4"/>
  <c r="CI43" i="4"/>
  <c r="CI39" i="4"/>
  <c r="CK43" i="4"/>
  <c r="CO43" i="4"/>
  <c r="CW39" i="4"/>
  <c r="BS39" i="4"/>
  <c r="CY39" i="4"/>
  <c r="CK39" i="4"/>
  <c r="CO39" i="4"/>
  <c r="BU39" i="4"/>
  <c r="CI41" i="4"/>
  <c r="BW39" i="4"/>
  <c r="DC39" i="4"/>
  <c r="CE41" i="4"/>
  <c r="CG41" i="4"/>
  <c r="BY45" i="4"/>
  <c r="CS41" i="4"/>
  <c r="BM41" i="4"/>
  <c r="CU41" i="4"/>
  <c r="CC41" i="4"/>
  <c r="BO41" i="4"/>
  <c r="BM43" i="4"/>
  <c r="BS41" i="4"/>
  <c r="CY41" i="4"/>
  <c r="BY43" i="4"/>
  <c r="BU41" i="4"/>
  <c r="DA41" i="4"/>
  <c r="CC43" i="4"/>
  <c r="CC45" i="4"/>
  <c r="CE43" i="4"/>
  <c r="CE45" i="4"/>
  <c r="CG43" i="4"/>
  <c r="BS57" i="4"/>
  <c r="CG45" i="4"/>
  <c r="BU57" i="4"/>
  <c r="BY55" i="4"/>
  <c r="BY51" i="4"/>
  <c r="BO43" i="4"/>
  <c r="CW43" i="4"/>
  <c r="BY47" i="4"/>
  <c r="BS43" i="4"/>
  <c r="CY43" i="4"/>
  <c r="CG47" i="4"/>
  <c r="BU43" i="4"/>
  <c r="DA43" i="4"/>
  <c r="DA47" i="4"/>
  <c r="BW43" i="4"/>
  <c r="DC43" i="4"/>
  <c r="BM45" i="4"/>
  <c r="CU45" i="4"/>
  <c r="BO45" i="4"/>
  <c r="CW45" i="4"/>
  <c r="CE31" i="4"/>
  <c r="CC47" i="4"/>
  <c r="BU45" i="4"/>
  <c r="DA45" i="4"/>
  <c r="CI47" i="4"/>
  <c r="CK47" i="4"/>
  <c r="CQ47" i="4"/>
  <c r="CI45" i="4"/>
  <c r="CK45" i="4"/>
  <c r="CI49" i="4"/>
  <c r="CO45" i="4"/>
  <c r="CK49" i="4"/>
  <c r="CQ45" i="4"/>
  <c r="CO49" i="4"/>
  <c r="CS45" i="4"/>
  <c r="CQ49" i="4"/>
  <c r="BS45" i="4"/>
  <c r="CY45" i="4"/>
  <c r="BO57" i="4"/>
  <c r="CE47" i="4"/>
  <c r="BW45" i="4"/>
  <c r="DC45" i="4"/>
  <c r="CS49" i="4"/>
  <c r="CO47" i="4"/>
  <c r="CC51" i="4"/>
  <c r="CE51" i="4"/>
  <c r="CS47" i="4"/>
  <c r="BS12" i="4"/>
  <c r="BM47" i="4"/>
  <c r="CU47" i="4"/>
  <c r="CS8" i="4"/>
  <c r="BU12" i="4"/>
  <c r="BY49" i="4"/>
  <c r="BO47" i="4"/>
  <c r="CW47" i="4"/>
  <c r="CE12" i="4"/>
  <c r="CC49" i="4"/>
  <c r="BS47" i="4"/>
  <c r="CY47" i="4"/>
  <c r="CE49" i="4"/>
  <c r="BU47" i="4"/>
  <c r="CG49" i="4"/>
  <c r="BW47" i="4"/>
  <c r="DC47" i="4"/>
  <c r="CC23" i="4"/>
  <c r="CC57" i="4"/>
  <c r="CG51" i="4"/>
  <c r="BM49" i="4"/>
  <c r="CU49" i="4"/>
  <c r="CU8" i="4"/>
  <c r="BM12" i="4"/>
  <c r="CE27" i="4"/>
  <c r="CE53" i="4"/>
  <c r="BU49" i="4"/>
  <c r="DA49" i="4"/>
  <c r="CE23" i="4"/>
  <c r="CE57" i="4"/>
  <c r="CY23" i="4"/>
  <c r="DC33" i="4"/>
  <c r="DC23" i="4"/>
  <c r="CC55" i="4"/>
  <c r="CE55" i="4"/>
  <c r="CW25" i="4"/>
  <c r="DA55" i="4"/>
  <c r="CC10" i="4"/>
  <c r="CY25" i="4"/>
  <c r="BO49" i="4"/>
  <c r="CW49" i="4"/>
  <c r="DC8" i="4"/>
  <c r="CE10" i="4"/>
  <c r="CC27" i="4"/>
  <c r="CC53" i="4"/>
  <c r="BS49" i="4"/>
  <c r="CY49" i="4"/>
  <c r="BO12" i="4"/>
  <c r="CC31" i="4"/>
  <c r="CG53" i="4"/>
  <c r="BW49" i="4"/>
  <c r="DC49" i="4"/>
  <c r="CK53" i="4"/>
  <c r="CI51" i="4"/>
  <c r="CK51" i="4"/>
  <c r="CO51" i="4"/>
  <c r="CQ51" i="4"/>
  <c r="CS51" i="4"/>
  <c r="CC14" i="4"/>
  <c r="BM51" i="4"/>
  <c r="CU51" i="4"/>
  <c r="DC14" i="4"/>
  <c r="CG55" i="4"/>
  <c r="BO51" i="4"/>
  <c r="CW51" i="4"/>
  <c r="CC16" i="4"/>
  <c r="BS29" i="4"/>
  <c r="BS51" i="4"/>
  <c r="CY51" i="4"/>
  <c r="CE16" i="4"/>
  <c r="BU29" i="4"/>
  <c r="BU51" i="4"/>
  <c r="DA51" i="4"/>
  <c r="CI53" i="4"/>
  <c r="BM29" i="4"/>
  <c r="BC29" i="4" s="1"/>
  <c r="BE29" i="4" s="1"/>
  <c r="BO29" i="4"/>
  <c r="BU20" i="4"/>
  <c r="BU31" i="4"/>
  <c r="BY53" i="4"/>
  <c r="BW51" i="4"/>
  <c r="DC51" i="4"/>
  <c r="CU16" i="4"/>
  <c r="BM25" i="4"/>
  <c r="BC25" i="4" s="1"/>
  <c r="BE25" i="4" s="1"/>
  <c r="BO18" i="4"/>
  <c r="CY12" i="4"/>
  <c r="CE29" i="4"/>
  <c r="BU25" i="4"/>
  <c r="CC25" i="4"/>
  <c r="CC33" i="4"/>
  <c r="CE25" i="4"/>
  <c r="BM31" i="4"/>
  <c r="CE33" i="4"/>
  <c r="BS53" i="4"/>
  <c r="CY53" i="4"/>
  <c r="BM18" i="4"/>
  <c r="CO53" i="4"/>
  <c r="BO25" i="4"/>
  <c r="CQ53" i="4"/>
  <c r="BS18" i="4"/>
  <c r="BS25" i="4"/>
  <c r="BS33" i="4"/>
  <c r="CS53" i="4"/>
  <c r="DC12" i="4"/>
  <c r="BU18" i="4"/>
  <c r="CY29" i="4"/>
  <c r="BU33" i="4"/>
  <c r="BM53" i="4"/>
  <c r="CU53" i="4"/>
  <c r="CC18" i="4"/>
  <c r="DC29" i="4"/>
  <c r="BO53" i="4"/>
  <c r="CW53" i="4"/>
  <c r="BM14" i="4"/>
  <c r="BC14" i="4" s="1"/>
  <c r="BE14" i="4" s="1"/>
  <c r="CC8" i="4"/>
  <c r="BO14" i="4"/>
  <c r="BM20" i="4"/>
  <c r="CS25" i="4"/>
  <c r="BO31" i="4"/>
  <c r="CW33" i="4"/>
  <c r="BU53" i="4"/>
  <c r="DA53" i="4"/>
  <c r="CQ8" i="4"/>
  <c r="BS14" i="4"/>
  <c r="BO20" i="4"/>
  <c r="CU25" i="4"/>
  <c r="BS31" i="4"/>
  <c r="CY33" i="4"/>
  <c r="BW53" i="4"/>
  <c r="DC53" i="4"/>
  <c r="CI55" i="4"/>
  <c r="CI57" i="4"/>
  <c r="CK55" i="4"/>
  <c r="CU10" i="4"/>
  <c r="CK57" i="4"/>
  <c r="CO55" i="4"/>
  <c r="CO57" i="4"/>
  <c r="CQ55" i="4"/>
  <c r="CS20" i="4"/>
  <c r="CQ57" i="4"/>
  <c r="CS57" i="4"/>
  <c r="CU18" i="4"/>
  <c r="CS31" i="4"/>
  <c r="CU57" i="4"/>
  <c r="BO55" i="4"/>
  <c r="CW55" i="4"/>
  <c r="CC12" i="4"/>
  <c r="CS14" i="4"/>
  <c r="CW18" i="4"/>
  <c r="CK25" i="4"/>
  <c r="CC29" i="4"/>
  <c r="CU31" i="4"/>
  <c r="CY57" i="4"/>
  <c r="BS55" i="4"/>
  <c r="CY55" i="4"/>
  <c r="CI20" i="4"/>
  <c r="CK20" i="4"/>
  <c r="CO20" i="4"/>
  <c r="CU27" i="4"/>
  <c r="CI14" i="4"/>
  <c r="CQ20" i="4"/>
  <c r="CK14" i="4"/>
  <c r="CO31" i="4"/>
  <c r="CS55" i="4"/>
  <c r="CO14" i="4"/>
  <c r="CU20" i="4"/>
  <c r="CQ31" i="4"/>
  <c r="BM55" i="4"/>
  <c r="CU55" i="4"/>
  <c r="CQ14" i="4"/>
  <c r="DC20" i="4"/>
  <c r="CU14" i="4"/>
  <c r="CY18" i="4"/>
  <c r="BS23" i="4"/>
  <c r="CO25" i="4"/>
  <c r="CW31" i="4"/>
  <c r="BU55" i="4"/>
  <c r="CW12" i="4"/>
  <c r="CW14" i="4"/>
  <c r="DC18" i="4"/>
  <c r="BU23" i="4"/>
  <c r="CQ25" i="4"/>
  <c r="CW29" i="4"/>
  <c r="CY31" i="4"/>
  <c r="BO33" i="4"/>
  <c r="BW55" i="4"/>
  <c r="DC55" i="4"/>
  <c r="BW10" i="4"/>
  <c r="BW16" i="4"/>
  <c r="BY10" i="4"/>
  <c r="BY27" i="4"/>
  <c r="DA12" i="4"/>
  <c r="DA33" i="4"/>
  <c r="CI10" i="4"/>
  <c r="BW29" i="4"/>
  <c r="BY12" i="4"/>
  <c r="CK16" i="4"/>
  <c r="BY18" i="4"/>
  <c r="CG23" i="4"/>
  <c r="CO27" i="4"/>
  <c r="DA31" i="4"/>
  <c r="CG8" i="4"/>
  <c r="CW8" i="4"/>
  <c r="CQ10" i="4"/>
  <c r="CY14" i="4"/>
  <c r="CQ16" i="4"/>
  <c r="CW20" i="4"/>
  <c r="CI23" i="4"/>
  <c r="DA25" i="4"/>
  <c r="CQ27" i="4"/>
  <c r="DC31" i="4"/>
  <c r="CG33" i="4"/>
  <c r="CY8" i="4"/>
  <c r="CE8" i="4"/>
  <c r="CS10" i="4"/>
  <c r="CI12" i="4"/>
  <c r="BU14" i="4"/>
  <c r="DA14" i="4"/>
  <c r="CS16" i="4"/>
  <c r="CE18" i="4"/>
  <c r="BS20" i="4"/>
  <c r="CY20" i="4"/>
  <c r="CK23" i="4"/>
  <c r="BW25" i="4"/>
  <c r="DC25" i="4"/>
  <c r="CS27" i="4"/>
  <c r="CI29" i="4"/>
  <c r="BW31" i="4"/>
  <c r="BM57" i="4"/>
  <c r="CW57" i="4"/>
  <c r="CI33" i="4"/>
  <c r="BW27" i="4"/>
  <c r="BY16" i="4"/>
  <c r="DA23" i="4"/>
  <c r="BW23" i="4"/>
  <c r="DA29" i="4"/>
  <c r="DA18" i="4"/>
  <c r="BY23" i="4"/>
  <c r="BW12" i="4"/>
  <c r="CI27" i="4"/>
  <c r="CG16" i="4"/>
  <c r="CK27" i="4"/>
  <c r="CG27" i="4"/>
  <c r="BM10" i="4"/>
  <c r="CO12" i="4"/>
  <c r="BM16" i="4"/>
  <c r="CK18" i="4"/>
  <c r="BM27" i="4"/>
  <c r="CO29" i="4"/>
  <c r="CG29" i="4"/>
  <c r="BO10" i="4"/>
  <c r="CY10" i="4"/>
  <c r="CY16" i="4"/>
  <c r="CO18" i="4"/>
  <c r="BY20" i="4"/>
  <c r="CS23" i="4"/>
  <c r="BO27" i="4"/>
  <c r="CQ29" i="4"/>
  <c r="CQ33" i="4"/>
  <c r="BS10" i="4"/>
  <c r="DA10" i="4"/>
  <c r="CS12" i="4"/>
  <c r="CE14" i="4"/>
  <c r="BS16" i="4"/>
  <c r="DA16" i="4"/>
  <c r="CQ18" i="4"/>
  <c r="BM23" i="4"/>
  <c r="CU23" i="4"/>
  <c r="CG25" i="4"/>
  <c r="BS27" i="4"/>
  <c r="DA27" i="4"/>
  <c r="CS29" i="4"/>
  <c r="CI31" i="4"/>
  <c r="BW57" i="4"/>
  <c r="CS33" i="4"/>
  <c r="CG20" i="4"/>
  <c r="BW33" i="4"/>
  <c r="CI16" i="4"/>
  <c r="BY33" i="4"/>
  <c r="CK10" i="4"/>
  <c r="BW18" i="4"/>
  <c r="BY29" i="4"/>
  <c r="CG18" i="4"/>
  <c r="CO10" i="4"/>
  <c r="CO16" i="4"/>
  <c r="CK12" i="4"/>
  <c r="BW14" i="4"/>
  <c r="CI18" i="4"/>
  <c r="DA20" i="4"/>
  <c r="CO23" i="4"/>
  <c r="BY25" i="4"/>
  <c r="BA27" i="4"/>
  <c r="CK29" i="4"/>
  <c r="BY31" i="4"/>
  <c r="CK33" i="4"/>
  <c r="BM8" i="4"/>
  <c r="CW10" i="4"/>
  <c r="BY14" i="4"/>
  <c r="CW16" i="4"/>
  <c r="BW20" i="4"/>
  <c r="CQ23" i="4"/>
  <c r="CW27" i="4"/>
  <c r="DA57" i="4"/>
  <c r="CO33" i="4"/>
  <c r="BO16" i="4"/>
  <c r="DC57" i="4"/>
  <c r="CG31" i="4"/>
  <c r="BU10" i="4"/>
  <c r="DC10" i="4"/>
  <c r="CU12" i="4"/>
  <c r="BU16" i="4"/>
  <c r="DC16" i="4"/>
  <c r="BO23" i="4"/>
  <c r="CI25" i="4"/>
  <c r="BU27" i="4"/>
  <c r="CU29" i="4"/>
  <c r="CK31" i="4"/>
  <c r="BY57" i="4"/>
  <c r="CG10" i="4"/>
  <c r="CG12" i="4"/>
  <c r="BA16" i="4"/>
  <c r="CG57" i="4"/>
  <c r="BA31" i="4"/>
  <c r="BA29" i="4"/>
  <c r="K5" i="8"/>
  <c r="K6" i="8" s="1"/>
  <c r="K7" i="8" s="1"/>
  <c r="K8" i="8" s="1"/>
  <c r="K9" i="8" s="1"/>
  <c r="C63" i="3"/>
  <c r="BC72" i="4" l="1"/>
  <c r="BE72" i="4" s="1"/>
  <c r="BC66" i="4"/>
  <c r="BE66" i="4" s="1"/>
  <c r="BC62" i="4"/>
  <c r="BE62" i="4" s="1"/>
  <c r="BC64" i="4"/>
  <c r="BE64" i="4" s="1"/>
  <c r="BC67" i="4"/>
  <c r="BE67" i="4" s="1"/>
  <c r="BC60" i="4"/>
  <c r="BE60" i="4" s="1"/>
  <c r="BC57" i="4"/>
  <c r="BE57" i="4" s="1"/>
  <c r="BC55" i="4"/>
  <c r="BE55" i="4" s="1"/>
  <c r="BC53" i="4"/>
  <c r="BE53" i="4" s="1"/>
  <c r="BC51" i="4"/>
  <c r="BE51" i="4" s="1"/>
  <c r="BC49" i="4"/>
  <c r="BE49" i="4" s="1"/>
  <c r="BC47" i="4"/>
  <c r="BE47" i="4" s="1"/>
  <c r="BC45" i="4"/>
  <c r="BE45" i="4" s="1"/>
  <c r="BC43" i="4"/>
  <c r="BE43" i="4" s="1"/>
  <c r="BC41" i="4"/>
  <c r="BE41" i="4" s="1"/>
  <c r="BC39" i="4"/>
  <c r="BE39" i="4" s="1"/>
  <c r="BC37" i="4"/>
  <c r="BE37" i="4" s="1"/>
  <c r="BC35" i="4"/>
  <c r="BE35" i="4" s="1"/>
  <c r="BC33" i="4"/>
  <c r="BE33" i="4" s="1"/>
  <c r="BC31" i="4"/>
  <c r="BE31" i="4" s="1"/>
  <c r="BC20" i="4"/>
  <c r="BE20" i="4" s="1"/>
  <c r="BC18" i="4"/>
  <c r="BE18" i="4" s="1"/>
  <c r="BC10" i="4"/>
  <c r="BE10" i="4" s="1"/>
  <c r="BC23" i="4"/>
  <c r="BE23" i="4" s="1"/>
  <c r="BC27" i="4"/>
  <c r="BE27" i="4" s="1"/>
  <c r="BC8" i="4"/>
  <c r="BE8" i="4" s="1"/>
  <c r="BC12" i="4"/>
  <c r="BE12" i="4" s="1"/>
  <c r="BC16" i="4"/>
  <c r="BE16" i="4" s="1"/>
  <c r="B73" i="5"/>
  <c r="G105" i="5"/>
  <c r="I105" i="5" s="1"/>
  <c r="G106" i="5" s="1"/>
  <c r="I106" i="5" s="1"/>
  <c r="G107" i="5" s="1"/>
  <c r="I107" i="5" s="1"/>
  <c r="G108" i="5" s="1"/>
  <c r="G104" i="5"/>
  <c r="B92" i="5"/>
  <c r="G94" i="5"/>
  <c r="I94" i="5"/>
  <c r="G95" i="5"/>
  <c r="I95" i="5"/>
  <c r="G96" i="5"/>
  <c r="I96" i="5"/>
  <c r="G97" i="5"/>
  <c r="I97" i="5"/>
  <c r="G98" i="5"/>
  <c r="I98" i="5"/>
  <c r="G99" i="5"/>
  <c r="I99" i="5"/>
  <c r="B101" i="5"/>
  <c r="I90" i="5"/>
  <c r="I89" i="5"/>
  <c r="I88" i="5"/>
  <c r="I87" i="5"/>
  <c r="I86" i="5"/>
  <c r="I85" i="5"/>
  <c r="G89" i="5"/>
  <c r="G88" i="5"/>
  <c r="G87" i="5"/>
  <c r="G86" i="5"/>
  <c r="G85" i="5"/>
  <c r="G90" i="5"/>
  <c r="B83" i="5"/>
  <c r="B45" i="5"/>
  <c r="B44" i="5"/>
  <c r="B43" i="5"/>
  <c r="B6" i="5"/>
  <c r="B5" i="5"/>
  <c r="B4" i="5"/>
  <c r="B15" i="5"/>
  <c r="B24" i="5"/>
  <c r="B54" i="5"/>
</calcChain>
</file>

<file path=xl/sharedStrings.xml><?xml version="1.0" encoding="utf-8"?>
<sst xmlns="http://schemas.openxmlformats.org/spreadsheetml/2006/main" count="1206" uniqueCount="433">
  <si>
    <t>Time</t>
  </si>
  <si>
    <t>Topic</t>
  </si>
  <si>
    <t>Presenter</t>
  </si>
  <si>
    <t>Key Content</t>
  </si>
  <si>
    <t>Opening &amp; Objectives</t>
  </si>
  <si>
    <t>Brainstorming Method &amp; Framework</t>
  </si>
  <si>
    <t>Operations Enabler Update</t>
  </si>
  <si>
    <t>All</t>
  </si>
  <si>
    <t>Day</t>
  </si>
  <si>
    <t>Classic Business</t>
  </si>
  <si>
    <t>BU Manager</t>
  </si>
  <si>
    <t>• Vision 2030 • Market • Growth drivers • Portfolio • Top opportunities • Competition • Risks • Support needed</t>
  </si>
  <si>
    <t>Wound Care Business</t>
  </si>
  <si>
    <t>Same structure as above</t>
  </si>
  <si>
    <t>Equipment Business</t>
  </si>
  <si>
    <t>2030 Final Alignment Discussion</t>
  </si>
  <si>
    <t>CEO + All</t>
  </si>
  <si>
    <t>• Summary • Alignment • Next steps</t>
  </si>
  <si>
    <t>• Purpose of meeting 
• 2030 ambition 
• What limits growth 
• Need for new verticals 
• Growth mindset
• Brainstorming rules &amp; scoring model intro.</t>
  </si>
  <si>
    <t>• Effectivnes of Change.
• Next Step (Ops support to sales)
• Inventory visibility 
• MRP Demo
• KPI Review (OTIF, A3 Report, Dashboard).
• Budget 2026</t>
  </si>
  <si>
    <t>Mr. Saleh 
&amp; 
Sameh Khalil</t>
  </si>
  <si>
    <t>Mahmoud Younis</t>
  </si>
  <si>
    <t>Tender Analysis and Dialysis business</t>
  </si>
  <si>
    <t>Weal Korashi</t>
  </si>
  <si>
    <t>Cardiology Business</t>
  </si>
  <si>
    <t>Ayman Kaddah</t>
  </si>
  <si>
    <t>Open Brainstorming Session # Day 1</t>
  </si>
  <si>
    <t>Open Brainstorming Session # Day 2</t>
  </si>
  <si>
    <t>Open Brainstorming Session # Day 3</t>
  </si>
  <si>
    <t>• Cross-BU synergies 
• What Worked / Didn’t
• Enablers (Role, Responsibility, Timeline, Review Freqancy
• Action Planning (12–18–24 Months)
• Cross-Functional Priorities</t>
  </si>
  <si>
    <t xml:space="preserve">• Opportunity Scoring Model
• Brainstorming rules
• How to think about opportunities (Data-based logic) 
• Simple scoring model intro </t>
  </si>
  <si>
    <t>Faizan Rao</t>
  </si>
  <si>
    <t>Dr Samy Katar</t>
  </si>
  <si>
    <t>Subject</t>
  </si>
  <si>
    <t>9:00 – 9:30</t>
  </si>
  <si>
    <t>9:30 – 10:00</t>
  </si>
  <si>
    <t>Brainstorming Methodology</t>
  </si>
  <si>
    <t>10:00 – 11:00</t>
  </si>
  <si>
    <t>Wound Care / Diabetes / Rehabilitation / Tenders</t>
  </si>
  <si>
    <t>11:00 – 11:30</t>
  </si>
  <si>
    <t>Break</t>
  </si>
  <si>
    <t>11:30 – 13:30</t>
  </si>
  <si>
    <t>Wael Korashi</t>
  </si>
  <si>
    <t>13:30 – 14:30</t>
  </si>
  <si>
    <t>Lunch + Prayer Break</t>
  </si>
  <si>
    <t>14:30 – 17:30</t>
  </si>
  <si>
    <t>• Purpose of Egypt strategy meeting 
• 2030 ambition 
• Expectations from each BU 
• Why new verticals matter 
• How this meeting will run 
• Importance of alignment</t>
  </si>
  <si>
    <t>Mr. Saleh 
&amp; 
Dr. Sameh</t>
  </si>
  <si>
    <t xml:space="preserve">• Opportunity Scoring Model (OSM)
• Brainstorming rules
• How to think about opportunities (Data-based logic) 
• Simple scoring model intro </t>
  </si>
  <si>
    <t>9:00 – 11:00</t>
  </si>
  <si>
    <t>Mohamed Samir</t>
  </si>
  <si>
    <t>11:30 – 13:00</t>
  </si>
  <si>
    <t>Ahmad Awad</t>
  </si>
  <si>
    <t>15:30 – 17:00</t>
  </si>
  <si>
    <t>• Market opportunities 
• Current Pipeline
• Partner opportunities
• High-potential SKUs &amp; High Value Tender Timelines
• Required support 
• Competition analysis 
• Historical challenges in tender pricing 
• Key wins/losses 
• Market gaps</t>
  </si>
  <si>
    <t>• Market opportunities 
• Current Pipeline
• Partner opportunities
• Tender readiness (High Value)
• High-potential SKUs
• Required support 
• Competition analysis 
• Historical challenges in tender pricing 
• Key wins/losses 
• Market gaps</t>
  </si>
  <si>
    <r>
      <t xml:space="preserve">• Market opportunities 
• Current Pipeline
• Partner opportunities
• Tender readiness (High Value)
• High-potential SKUs
• Required support 
• Competition analysis 
• Historical challenges in tender pricing 
• Key wins/losses 
• Market gaps
</t>
    </r>
    <r>
      <rPr>
        <sz val="11"/>
        <color rgb="FFC00000"/>
        <rFont val="Aptos Narrow"/>
        <family val="2"/>
        <scheme val="minor"/>
      </rPr>
      <t>• Post-sales requirements</t>
    </r>
  </si>
  <si>
    <t>• Day Summary (Idea collection)
• What opportunities can be combined? 
• Review OSM</t>
  </si>
  <si>
    <t>Open Discussion &amp; Brainstorming Day-02</t>
  </si>
  <si>
    <t>Open Discussion &amp; Brainstorming Day-01</t>
  </si>
  <si>
    <t>Dinner @ Khan Khalili</t>
  </si>
  <si>
    <t>Open Discussion &amp; Brainstorming Day-03</t>
  </si>
  <si>
    <t>18:30 – XX:XX</t>
  </si>
  <si>
    <t>• Finalize opportunity shortlist 
• Assign owners 
• Prepare input for action plan</t>
  </si>
  <si>
    <t>Day 01 (07 Dec, 2025)</t>
  </si>
  <si>
    <t>Day 02 (08 Dec, 2025)</t>
  </si>
  <si>
    <t>Day 03 (09 Dec, 2025)</t>
  </si>
  <si>
    <t>Offsite Strategy Meeting - Egypt 2025</t>
  </si>
  <si>
    <t>Opportunity</t>
  </si>
  <si>
    <t>Surgical instruments</t>
  </si>
  <si>
    <t>Cardiology intervention</t>
  </si>
  <si>
    <t>Gross Margin Potential</t>
  </si>
  <si>
    <t>Tender Feasibility (NUPCO likelihood)</t>
  </si>
  <si>
    <t>Supplier Availability / Partnership Readiness</t>
  </si>
  <si>
    <t>Capital Requirement</t>
  </si>
  <si>
    <t>Business Segment</t>
  </si>
  <si>
    <t>Market Awareness &amp; Capability</t>
  </si>
  <si>
    <t>Entry Barriers</t>
  </si>
  <si>
    <t>Product Complexity</t>
  </si>
  <si>
    <t>Operational Complexity</t>
  </si>
  <si>
    <t>Ease of Entry</t>
  </si>
  <si>
    <t>Regulatory</t>
  </si>
  <si>
    <t>Private Market</t>
  </si>
  <si>
    <t>High</t>
  </si>
  <si>
    <t>Medium</t>
  </si>
  <si>
    <t>Low</t>
  </si>
  <si>
    <t>Minimal</t>
  </si>
  <si>
    <t>Very High</t>
  </si>
  <si>
    <t>To Be Assessed</t>
  </si>
  <si>
    <t>Score</t>
  </si>
  <si>
    <t>Rating</t>
  </si>
  <si>
    <t>Clear and strong opportunity. Big demand, high growth, and fast impact.</t>
  </si>
  <si>
    <t>Good opportunity with strong potential. Some work needed but promising.</t>
  </si>
  <si>
    <t>Opportunity exists, but not fully clear. Moderate potential.</t>
  </si>
  <si>
    <t>Weak opportunity. Small impact or limited demand.</t>
  </si>
  <si>
    <t>Very small or unclear opportunity. Not worth focus now.</t>
  </si>
  <si>
    <t>Not enough information yet to judge.</t>
  </si>
  <si>
    <t>Yes – Very High</t>
  </si>
  <si>
    <t>Market fully knows the product; adoption is easy</t>
  </si>
  <si>
    <t>Yes – High</t>
  </si>
  <si>
    <t>Market understands well; small education effort</t>
  </si>
  <si>
    <t>Partial</t>
  </si>
  <si>
    <t>Market is mixed; some know it, some don’t</t>
  </si>
  <si>
    <t>Low Awareness</t>
  </si>
  <si>
    <t>Market has limited understanding; heavy effort needed</t>
  </si>
  <si>
    <t>No – Minimal</t>
  </si>
  <si>
    <t>Market does not know this product at all</t>
  </si>
  <si>
    <t>Information not available yet</t>
  </si>
  <si>
    <t>Very Low Barriers</t>
  </si>
  <si>
    <t>Easy to enter. No major regulatory, technical, or capital obstacles.</t>
  </si>
  <si>
    <t>Low Barriers</t>
  </si>
  <si>
    <t>Manageable entry. Some work needed but not difficult.</t>
  </si>
  <si>
    <t>Medium Barriers</t>
  </si>
  <si>
    <t>Moderate challenges. JMI can enter but needs planning.</t>
  </si>
  <si>
    <t>High Barriers</t>
  </si>
  <si>
    <t>Hard to enter. Heavy approvals, strong competitors, or technical hurdles.</t>
  </si>
  <si>
    <t>Very High Barriers</t>
  </si>
  <si>
    <t>Very difficult entry. Not suitable unless strategic.</t>
  </si>
  <si>
    <t>Not enough information yet.</t>
  </si>
  <si>
    <t>Remarks</t>
  </si>
  <si>
    <t>Multiple strong suppliers available; partnership can start immediately.</t>
  </si>
  <si>
    <t>Fully Ready</t>
  </si>
  <si>
    <t>Ready</t>
  </si>
  <si>
    <t>Good suppliers available; onboarding is simple with minor effort.</t>
  </si>
  <si>
    <t>Partially Ready</t>
  </si>
  <si>
    <t>Some supplier options but need evaluation or development.</t>
  </si>
  <si>
    <t>Limited Readiness</t>
  </si>
  <si>
    <t>Very few supplier options; long qualification or negotiation required.</t>
  </si>
  <si>
    <t>Not Ready</t>
  </si>
  <si>
    <t>No reliable suppliers available; partnership must be built from zero.</t>
  </si>
  <si>
    <t>Information not available yet.</t>
  </si>
  <si>
    <t>Y01</t>
  </si>
  <si>
    <t>T-Y05</t>
  </si>
  <si>
    <t>Strong margins; excellent profitability with room for future improvement.</t>
  </si>
  <si>
    <t>Good margin level; attractive and healthy for business.</t>
  </si>
  <si>
    <t>Acceptable margin; workable but needs volume or efficiency to improve.</t>
  </si>
  <si>
    <t>Weak margin; profitability is limited unless volume is high.</t>
  </si>
  <si>
    <t>Very low margin; unattractive and difficult to sustain.</t>
  </si>
  <si>
    <t>Margin information not available yet.</t>
  </si>
  <si>
    <t>Business Development</t>
  </si>
  <si>
    <t>Market accepts new products quickly; fast onboarding and minimal barriers.</t>
  </si>
  <si>
    <t>Good potential; customers open to adoption with moderate effort.</t>
  </si>
  <si>
    <t>Entry possible but requires sales effort, education, or relationship building.</t>
  </si>
  <si>
    <t>Hard to penetrate; strong competitors or slow adoption.</t>
  </si>
  <si>
    <t>Market resistant; high effort with low chance of success.</t>
  </si>
  <si>
    <t>Information not yet available.</t>
  </si>
  <si>
    <t>Very Easy</t>
  </si>
  <si>
    <t>Easy</t>
  </si>
  <si>
    <t>Moderate</t>
  </si>
  <si>
    <t>Difficult</t>
  </si>
  <si>
    <t>Very Difficult</t>
  </si>
  <si>
    <t>Registration simple; SFDA requirements clear; fast approval expected.</t>
  </si>
  <si>
    <t>Mostly straightforward; some documents needed but no major barriers.</t>
  </si>
  <si>
    <t>Registration possible but requires time, data, or additional compliance steps.</t>
  </si>
  <si>
    <t>Heavy documentation; complex approval path; long registration timeline.</t>
  </si>
  <si>
    <t>Major regulatory hurdles; long approval or low chance of acceptance.</t>
  </si>
  <si>
    <t>Regulatory information not available yet.</t>
  </si>
  <si>
    <t>Complexity not evaluated yet.</t>
  </si>
  <si>
    <t>Weak</t>
  </si>
  <si>
    <t>Very Weak</t>
  </si>
  <si>
    <t>Capability not evaluated yet.</t>
  </si>
  <si>
    <t>Operations can fully support this product today; strong processes, capacity, and experience already exist.</t>
  </si>
  <si>
    <t>Good operational capability; only minor adjustments or setup needed.</t>
  </si>
  <si>
    <t>Some capability exists but requires planning, training, or process support to handle this product.</t>
  </si>
  <si>
    <t>Limited operational readiness; significant setup or process changes needed.</t>
  </si>
  <si>
    <t>No operational capability for this category; must build from scratch.</t>
  </si>
  <si>
    <t>Localization Opportunities</t>
  </si>
  <si>
    <t>Strong potential for local assembly or full manufacturing; clear feasibility and incentives.</t>
  </si>
  <si>
    <t>Good potential for partial localization (assembly, packaging, kitting).</t>
  </si>
  <si>
    <t>Some localization possible but limited to minor value-added steps.</t>
  </si>
  <si>
    <t>Localization is difficult; minimal value-add possible.</t>
  </si>
  <si>
    <t>No realistic localization options for this category.</t>
  </si>
  <si>
    <t>Localization feasibility not evaluated yet.</t>
  </si>
  <si>
    <t>Product 
Complexity</t>
  </si>
  <si>
    <t>Product is very simple; minimal training; quick to introduce and support.</t>
  </si>
  <si>
    <t>Product is simple; requires light training; manageable by sales and ops.</t>
  </si>
  <si>
    <t>Product has some technical requirements; training and coordination needed.</t>
  </si>
  <si>
    <t>Product is complex; requires strong technical support and structured onboarding.</t>
  </si>
  <si>
    <t>Product is highly technical; long learning curve; heavy operational burden.</t>
  </si>
  <si>
    <t>Operational
Complexity</t>
  </si>
  <si>
    <t>CAGR</t>
  </si>
  <si>
    <t>Regulatory
Complexity</t>
  </si>
  <si>
    <t>Proper supplier</t>
  </si>
  <si>
    <t>#</t>
  </si>
  <si>
    <t>SBU</t>
  </si>
  <si>
    <t>Classic</t>
  </si>
  <si>
    <t>Wound-Care</t>
  </si>
  <si>
    <t>Equipments</t>
  </si>
  <si>
    <t>Cardiology</t>
  </si>
  <si>
    <t>Dialysis Business</t>
  </si>
  <si>
    <t>Surgical Inst.</t>
  </si>
  <si>
    <t>Dialysis</t>
  </si>
  <si>
    <t>Revenue data not available</t>
  </si>
  <si>
    <r>
      <t xml:space="preserve">≥ </t>
    </r>
    <r>
      <rPr>
        <b/>
        <sz val="11"/>
        <color theme="1"/>
        <rFont val="Aptos Narrow"/>
        <family val="2"/>
        <scheme val="minor"/>
      </rPr>
      <t>25M</t>
    </r>
  </si>
  <si>
    <t>0.1M – 0.99M</t>
  </si>
  <si>
    <t>Y01 Revenues
(SAR in Millions)</t>
  </si>
  <si>
    <t>1M – 4.9M</t>
  </si>
  <si>
    <t>5M – 14.9M</t>
  </si>
  <si>
    <t>15M – 24.9M</t>
  </si>
  <si>
    <t>25M – 29.9M</t>
  </si>
  <si>
    <t>30M – 34.9M</t>
  </si>
  <si>
    <r>
      <t>≥ 3</t>
    </r>
    <r>
      <rPr>
        <b/>
        <sz val="11"/>
        <color theme="1"/>
        <rFont val="Aptos Narrow"/>
        <family val="2"/>
        <scheme val="minor"/>
      </rPr>
      <t>5M</t>
    </r>
  </si>
  <si>
    <t>Project Score</t>
  </si>
  <si>
    <t>Very Attractive</t>
  </si>
  <si>
    <t>Strong opportunity; high potential; must pursue</t>
  </si>
  <si>
    <t>Attractive</t>
  </si>
  <si>
    <t>Good opportunity; feasible and valuable</t>
  </si>
  <si>
    <t>Possible opportunity; needs validation or support</t>
  </si>
  <si>
    <t>Low attractiveness; not recommended now</t>
  </si>
  <si>
    <t>Very poor opportunity; avoid</t>
  </si>
  <si>
    <t>Not enough inputs to score</t>
  </si>
  <si>
    <t>Y05 Revenues
(SAR in Millions)</t>
  </si>
  <si>
    <t>Very Slow</t>
  </si>
  <si>
    <t>TBA</t>
  </si>
  <si>
    <t>Time to Market</t>
  </si>
  <si>
    <t>Very Fast</t>
  </si>
  <si>
    <t>Fast</t>
  </si>
  <si>
    <t>Slow</t>
  </si>
  <si>
    <t>= &gt; 36 months</t>
  </si>
  <si>
    <t>Above</t>
  </si>
  <si>
    <t>Btw 24–36 months</t>
  </si>
  <si>
    <t>Btw 12–24 months</t>
  </si>
  <si>
    <t>= &lt; 12 months</t>
  </si>
  <si>
    <t>Thing to Ask</t>
  </si>
  <si>
    <t>Critical Drop Zone</t>
  </si>
  <si>
    <t>Tender feasibility</t>
  </si>
  <si>
    <t>Very difficult</t>
  </si>
  <si>
    <t>Very Low</t>
  </si>
  <si>
    <t>Complex</t>
  </si>
  <si>
    <t>Product complexity</t>
  </si>
  <si>
    <t>Supplier availability</t>
  </si>
  <si>
    <t>Entry barriers</t>
  </si>
  <si>
    <t>Category</t>
  </si>
  <si>
    <t>Field</t>
  </si>
  <si>
    <t>Weight</t>
  </si>
  <si>
    <t>Y01 Revenues, 5Y CAGR, Margin, Market Awareness</t>
  </si>
  <si>
    <t>Product, Operational, BD, Regulatory, Tender</t>
  </si>
  <si>
    <t>Localization potential, JMI capabilities</t>
  </si>
  <si>
    <t>Entry barriers, complexity</t>
  </si>
  <si>
    <t>Market Attractiveness</t>
  </si>
  <si>
    <t>Strategic Fit</t>
  </si>
  <si>
    <t>Risk</t>
  </si>
  <si>
    <t>Description</t>
  </si>
  <si>
    <t>Market fully understands the product</t>
  </si>
  <si>
    <t>Good awareness; some education needed</t>
  </si>
  <si>
    <t>Mixed understanding; requires effort</t>
  </si>
  <si>
    <t>Limited knowledge in market</t>
  </si>
  <si>
    <t>No awareness; heavy education needed</t>
  </si>
  <si>
    <t>Information not available</t>
  </si>
  <si>
    <t>Field Name</t>
  </si>
  <si>
    <t>Ease of Entry – Tender Feasibility (NUPCO likelihood)</t>
  </si>
  <si>
    <t>Ease of Entry – Private Market</t>
  </si>
  <si>
    <t>Ease of Entry – Business Development</t>
  </si>
  <si>
    <t>Ease of Entry – Regulatory</t>
  </si>
  <si>
    <t>Ease of Entry – Product Complexity</t>
  </si>
  <si>
    <t>Ease of Entry – Operational Complexity</t>
  </si>
  <si>
    <t>JMI’s Current Capabilities – Regulatory</t>
  </si>
  <si>
    <t>JMI’s Current Capabilities – Sales &amp; Mkt</t>
  </si>
  <si>
    <t>JMI’s Current Capabilities – Operations</t>
  </si>
  <si>
    <t>Owner</t>
  </si>
  <si>
    <t>Stage</t>
  </si>
  <si>
    <t>Comment</t>
  </si>
  <si>
    <t>Action</t>
  </si>
  <si>
    <t>Due Date</t>
  </si>
  <si>
    <t>Status</t>
  </si>
  <si>
    <t>Mitigation</t>
  </si>
  <si>
    <t>Mr. Samir</t>
  </si>
  <si>
    <t>Yes/Delay/Hold</t>
  </si>
  <si>
    <t>CGM</t>
  </si>
  <si>
    <t>Impact 
(High/Med/Low)</t>
  </si>
  <si>
    <t>Likelihood 
(High/Med/Low)</t>
  </si>
  <si>
    <t>DashBoard - 01</t>
  </si>
  <si>
    <t>DashBoard - 02</t>
  </si>
  <si>
    <t>DashBoard - 03</t>
  </si>
  <si>
    <t>On Track
(Yes/Delay/Hold)</t>
  </si>
  <si>
    <t>14:30 – 15:30</t>
  </si>
  <si>
    <t>Ops 4 Months Performance Review and Next Step</t>
  </si>
  <si>
    <t>• Performance Reivew and Sales Feedback.
• Next Year Operational Calander &amp; SOP.
• OTIF &amp; A3 Report &amp; DashBoard.
• MRP v1 Demo &amp; MRP v2 timeline.
• Inventory Classification (ABC/XYZ).
• Inventory Review Meeting (Monthly).
• Inventory 2026 Action Plan.
• Supplier follow-up system.
• NUPCO changing tracking.
• NUPCO portal changes MGMT.</t>
  </si>
  <si>
    <t>15:30 – 17:30</t>
  </si>
  <si>
    <t>Dr. Sameh</t>
  </si>
  <si>
    <t>Year of Excellence ~ Journey to 1 Billion</t>
  </si>
  <si>
    <t>&lt;&lt;2026&gt;&gt;
Year of Excellence
(YoE)
YoE 4 1b Y 05</t>
  </si>
  <si>
    <t>Financial</t>
  </si>
  <si>
    <t>Field Description</t>
  </si>
  <si>
    <t>Weight %</t>
  </si>
  <si>
    <t>JMI Critical
(Yes/No)</t>
  </si>
  <si>
    <t>SN</t>
  </si>
  <si>
    <t>Very Complex</t>
  </si>
  <si>
    <t>Low Complex</t>
  </si>
  <si>
    <t>No Complex</t>
  </si>
  <si>
    <t>No</t>
  </si>
  <si>
    <t>Yes</t>
  </si>
  <si>
    <t>Very Strong Fit</t>
  </si>
  <si>
    <t>Fits perfectly with current business. Uses same customers, same sales team, same suppliers. Easy to sell. Creates strong synergy and fast results.</t>
  </si>
  <si>
    <t>Strong Fit</t>
  </si>
  <si>
    <t>Matches most of the current portfolio. Good overlap with customers or channels. Easy for sales team to adopt.</t>
  </si>
  <si>
    <t>Moderate Fit</t>
  </si>
  <si>
    <t>Some overlap exists but still needs effort. New skills or new suppliers may be required.</t>
  </si>
  <si>
    <t>Low Fit</t>
  </si>
  <si>
    <t>Not well connected to current business. Limited overlap. Harder to sell with current structure.</t>
  </si>
  <si>
    <t>Very Low Fit</t>
  </si>
  <si>
    <t>Almost no link with current portfolio. Very new area for JMI. High learning curve.</t>
  </si>
  <si>
    <t>No Information Yet</t>
  </si>
  <si>
    <t>Not enough data to judge. Needs more study.</t>
  </si>
  <si>
    <t>Total Market Size
(in SAR Millions)</t>
  </si>
  <si>
    <r>
      <t xml:space="preserve">JMI Target &amp; Growth
</t>
    </r>
    <r>
      <rPr>
        <sz val="9"/>
        <color rgb="FFC00000"/>
        <rFont val="Aptos Narrow"/>
        <family val="2"/>
        <scheme val="minor"/>
      </rPr>
      <t>(In SAR Millions)</t>
    </r>
  </si>
  <si>
    <r>
      <t xml:space="preserve">Total Market Size
</t>
    </r>
    <r>
      <rPr>
        <sz val="9"/>
        <color rgb="FFC00000"/>
        <rFont val="Aptos Narrow"/>
        <family val="2"/>
        <scheme val="minor"/>
      </rPr>
      <t>(in SAR Millions)</t>
    </r>
  </si>
  <si>
    <t>Current team can fully manage this opportunity. No new hiring or structure change. Smooth fit.</t>
  </si>
  <si>
    <t>Mostly handled by current team, but 1–2 new roles or skills may be needed. Low effort.</t>
  </si>
  <si>
    <t>Some parts can be handled internally, but multiple additional roles or a small new sub-team is required. Medium effort.</t>
  </si>
  <si>
    <t>Cannot be managed by current structure. Needs building a new team with several hires. High effort.</t>
  </si>
  <si>
    <t>Completely new business setup. No alignment with current structure. Requires new department or BU. Very high effort.</t>
  </si>
  <si>
    <t>Not enough information to judge team requirement.</t>
  </si>
  <si>
    <t>No New Team</t>
  </si>
  <si>
    <t>Minor Additions</t>
  </si>
  <si>
    <t>Some New Staff</t>
  </si>
  <si>
    <t>Major New Team</t>
  </si>
  <si>
    <t>Full New Setup</t>
  </si>
  <si>
    <t>Export Potential</t>
  </si>
  <si>
    <t>Strong international demand; easy to export; high margin.</t>
  </si>
  <si>
    <t>Good export demand; feasible with moderate effort.</t>
  </si>
  <si>
    <t>Some export demand; possible but needs work.</t>
  </si>
  <si>
    <t>Limited export opportunities; not attractive now.</t>
  </si>
  <si>
    <t>No meaningful export demand; not suitable.</t>
  </si>
  <si>
    <t>Information missing or unclear.</t>
  </si>
  <si>
    <t>Market</t>
  </si>
  <si>
    <t>Some BD required, but manageable.</t>
  </si>
  <si>
    <t>Needs demos, trials, some market education.</t>
  </si>
  <si>
    <t>Heavy BD required; slow adoption expected.</t>
  </si>
  <si>
    <t>Requires full-scale BD push; long adoption period.</t>
  </si>
  <si>
    <t>Not enough info.</t>
  </si>
  <si>
    <t>Product easy to launch, Team &amp; customers already familiar.</t>
  </si>
  <si>
    <t>Awareness &amp; Capability</t>
  </si>
  <si>
    <t>Commercial Readiness</t>
  </si>
  <si>
    <t>Strategic Fit With JMI Portfolio</t>
  </si>
  <si>
    <t>Sales Force Readiness</t>
  </si>
  <si>
    <t>Time To Market</t>
  </si>
  <si>
    <t>JMI Target (In SAR Millions)</t>
  </si>
  <si>
    <t>JMI Growth (In SAR Millions)</t>
  </si>
  <si>
    <t>Product
Complexity</t>
  </si>
  <si>
    <t>≥ 45%</t>
  </si>
  <si>
    <t>Very High Margin</t>
  </si>
  <si>
    <t>High Margin</t>
  </si>
  <si>
    <t>Moderate Margin</t>
  </si>
  <si>
    <t>Low Margin</t>
  </si>
  <si>
    <t>Very Low Margin</t>
  </si>
  <si>
    <t>35% – 45%</t>
  </si>
  <si>
    <t>25% – 35%</t>
  </si>
  <si>
    <t>15% – 25%</t>
  </si>
  <si>
    <t>&lt; 15%</t>
  </si>
  <si>
    <r>
      <t xml:space="preserve">Capital Requirement
</t>
    </r>
    <r>
      <rPr>
        <sz val="9"/>
        <color rgb="FFC00000"/>
        <rFont val="Aptos Narrow"/>
        <family val="2"/>
        <scheme val="minor"/>
      </rPr>
      <t>(in SAR Millions)</t>
    </r>
  </si>
  <si>
    <t>Check</t>
  </si>
  <si>
    <t xml:space="preserve">Rehabilitation </t>
  </si>
  <si>
    <t>Rehabilitation Consumables</t>
  </si>
  <si>
    <t>Rehabilitation Device</t>
  </si>
  <si>
    <t>Rehabiltation</t>
  </si>
  <si>
    <t>Market size from Different source</t>
  </si>
  <si>
    <t>Number of Patients</t>
  </si>
  <si>
    <t>Wound care</t>
  </si>
  <si>
    <t>negative pressure therapy</t>
  </si>
  <si>
    <t>wound care</t>
  </si>
  <si>
    <t>Regenerative skin</t>
  </si>
  <si>
    <t>Wound Irrigation</t>
  </si>
  <si>
    <t>Nebulization</t>
  </si>
  <si>
    <t>Mesh Nebulizer</t>
  </si>
  <si>
    <t>Abeer consultation</t>
  </si>
  <si>
    <t xml:space="preserve">Drug delivery </t>
  </si>
  <si>
    <t>need further investigation</t>
  </si>
  <si>
    <t>Atomizer</t>
  </si>
  <si>
    <t>Intersurgical</t>
  </si>
  <si>
    <t>Surgical glue</t>
  </si>
  <si>
    <t xml:space="preserve">Chyme reinfusion </t>
  </si>
  <si>
    <t>Communicate with the customer (Nutrient , Colerectal )</t>
  </si>
  <si>
    <t>Peripeheral intervention intervention</t>
  </si>
  <si>
    <t>Neurovascular</t>
  </si>
  <si>
    <t>Strcture haert disease</t>
  </si>
  <si>
    <t>Connect with BALT</t>
  </si>
  <si>
    <t xml:space="preserve">Vascular Surgery </t>
  </si>
  <si>
    <t xml:space="preserve">Explore the Dialysis </t>
  </si>
  <si>
    <t>Cardiothoracic Surgery</t>
  </si>
  <si>
    <t>Vascular access</t>
  </si>
  <si>
    <t>CVS in the tender communication</t>
  </si>
  <si>
    <t xml:space="preserve">Cath Lock Solution </t>
  </si>
  <si>
    <t xml:space="preserve">Exploring COOK medical </t>
  </si>
  <si>
    <t xml:space="preserve">start with the Accoat essentially </t>
  </si>
  <si>
    <t>POC -Blood gas</t>
  </si>
  <si>
    <t>blood Bank</t>
  </si>
  <si>
    <t xml:space="preserve">Poland company </t>
  </si>
  <si>
    <t>Equipment</t>
  </si>
  <si>
    <t>Monitors-Government</t>
  </si>
  <si>
    <t>Ultrasound</t>
  </si>
  <si>
    <t>Ventilator-Government</t>
  </si>
  <si>
    <t>Anesthesia -Gevernment</t>
  </si>
  <si>
    <t>GIT Capsule</t>
  </si>
  <si>
    <t>POC Ultrsound</t>
  </si>
  <si>
    <t>Mobile X-ray</t>
  </si>
  <si>
    <t>Infusion pump</t>
  </si>
  <si>
    <t>GIT EUS accessories</t>
  </si>
  <si>
    <t>GIT Stents</t>
  </si>
  <si>
    <t>Endoscopy washer</t>
  </si>
  <si>
    <t>Robotic Surgery</t>
  </si>
  <si>
    <t xml:space="preserve">Endoscopic Instruments </t>
  </si>
  <si>
    <t>C-ARM</t>
  </si>
  <si>
    <t>CSSD</t>
  </si>
  <si>
    <t>Chitosan Dressing</t>
  </si>
  <si>
    <t>Contarcted with Sunmedic</t>
  </si>
  <si>
    <t>under negotation with LifeCell</t>
  </si>
  <si>
    <t>Pending till June eith Schulke Mayer</t>
  </si>
  <si>
    <t>Contarcting with Thredial / Starting Regsiteration with RA</t>
  </si>
  <si>
    <t>Contacted with UMT and registeration ahd been started</t>
  </si>
  <si>
    <t>CVS / Wound care</t>
  </si>
  <si>
    <t>Geko - Tens disposable patch</t>
  </si>
  <si>
    <t>Negotiaon started with FirstKind (currently awarded on NUPCO)</t>
  </si>
  <si>
    <t xml:space="preserve">we can partcipate in coming tender </t>
  </si>
  <si>
    <t xml:space="preserve">if we finaliz the contract in March will catch the tender </t>
  </si>
  <si>
    <t xml:space="preserve">we can catch June tender </t>
  </si>
  <si>
    <t xml:space="preserve">We can partciapte in the coming tender </t>
  </si>
  <si>
    <t xml:space="preserve">hold </t>
  </si>
  <si>
    <t>hold</t>
  </si>
  <si>
    <t xml:space="preserve">Samsung  Follow up </t>
  </si>
  <si>
    <t xml:space="preserve">Enditax  </t>
  </si>
  <si>
    <t>Eurocol/brainlab</t>
  </si>
  <si>
    <t xml:space="preserve">ICU Medical </t>
  </si>
  <si>
    <t xml:space="preserve">Finmedex /Done </t>
  </si>
  <si>
    <t xml:space="preserve">nothing </t>
  </si>
  <si>
    <t xml:space="preserve">Shinva </t>
  </si>
  <si>
    <t>KANGII</t>
  </si>
  <si>
    <t xml:space="preserve">ECTRON/GMM </t>
  </si>
  <si>
    <t>Shinva</t>
  </si>
  <si>
    <t xml:space="preserve">Surgical Sutures </t>
  </si>
  <si>
    <t>Demitech</t>
  </si>
  <si>
    <t>Theradial</t>
  </si>
  <si>
    <t>Medcaptain/ Fortress Diagnostic IVD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</si>
</sst>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C00000"/>
      <name val="Aptos Narrow"/>
      <family val="2"/>
      <scheme val="minor"/>
    </font>
    <font>
      <sz val="11"/>
      <color rgb="FFC00000"/>
      <name val="Aptos Narrow"/>
      <family val="2"/>
      <scheme val="minor"/>
    </font>
    <font>
      <b/>
      <sz val="16"/>
      <color rgb="FFC00000"/>
      <name val="Aptos Narrow"/>
      <family val="2"/>
      <scheme val="minor"/>
    </font>
    <font>
      <b/>
      <sz val="14"/>
      <color theme="0"/>
      <name val="Aptos Narrow"/>
      <family val="2"/>
      <scheme val="minor"/>
    </font>
    <font>
      <b/>
      <sz val="28"/>
      <color rgb="FF0070C0"/>
      <name val="Aptos Narrow"/>
      <family val="2"/>
      <scheme val="minor"/>
    </font>
    <font>
      <sz val="18"/>
      <color rgb="FF0070C0"/>
      <name val="Aptos Narrow"/>
      <family val="2"/>
      <scheme val="minor"/>
    </font>
    <font>
      <sz val="11"/>
      <color rgb="FF3F3F76"/>
      <name val="Aptos Narrow"/>
      <family val="2"/>
      <scheme val="minor"/>
    </font>
    <font>
      <b/>
      <sz val="11"/>
      <color rgb="FFFA7D00"/>
      <name val="Aptos Narrow"/>
      <family val="2"/>
      <scheme val="minor"/>
    </font>
    <font>
      <sz val="11"/>
      <color theme="0"/>
      <name val="Aptos Narrow"/>
      <family val="2"/>
      <scheme val="minor"/>
    </font>
    <font>
      <sz val="11"/>
      <color rgb="FF000000"/>
      <name val="Aptos Narrow"/>
      <family val="2"/>
    </font>
    <font>
      <b/>
      <sz val="16"/>
      <color theme="1"/>
      <name val="Aptos Narrow"/>
      <family val="2"/>
      <scheme val="minor"/>
    </font>
    <font>
      <b/>
      <sz val="16"/>
      <color theme="0"/>
      <name val="Aptos Narrow"/>
      <family val="2"/>
      <scheme val="minor"/>
    </font>
    <font>
      <sz val="9"/>
      <color rgb="FFC00000"/>
      <name val="Aptos Narrow"/>
      <family val="2"/>
      <scheme val="minor"/>
    </font>
    <font>
      <sz val="11"/>
      <color rgb="FF0070C0"/>
      <name val="Aptos Narrow"/>
      <family val="2"/>
      <scheme val="minor"/>
    </font>
    <font>
      <sz val="11"/>
      <color theme="1"/>
      <name val="Aptos Narrow"/>
      <family val="2"/>
      <scheme val="minor"/>
    </font>
    <font>
      <sz val="72"/>
      <color rgb="FFFF0000"/>
      <name val="Aptos Narrow"/>
      <family val="2"/>
      <scheme val="minor"/>
    </font>
    <font>
      <b/>
      <sz val="11"/>
      <color rgb="FFFF0000"/>
      <name val="Aptos Narrow"/>
      <family val="2"/>
      <scheme val="minor"/>
    </font>
    <font>
      <sz val="11"/>
      <color rgb="FFFF0000"/>
      <name val="Aptos Narrow"/>
      <family val="2"/>
      <scheme val="minor"/>
    </font>
  </fonts>
  <fills count="13">
    <fill>
      <patternFill patternType="none"/>
    </fill>
    <fill>
      <patternFill patternType="gray125"/>
    </fill>
    <fill>
      <patternFill patternType="solid">
        <fgColor theme="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rgb="FFFFCC99"/>
      </patternFill>
    </fill>
    <fill>
      <patternFill patternType="solid">
        <fgColor rgb="FFF2F2F2"/>
      </patternFill>
    </fill>
    <fill>
      <patternFill patternType="solid">
        <fgColor theme="4"/>
        <bgColor theme="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diagonalUp="1" diagonalDown="1">
      <left/>
      <right/>
      <top/>
      <bottom/>
      <diagonal style="thin">
        <color auto="1"/>
      </diagonal>
    </border>
  </borders>
  <cellStyleXfs count="4">
    <xf numFmtId="0" fontId="0" fillId="0" borderId="0"/>
    <xf numFmtId="0" fontId="9" fillId="5" borderId="2" applyNumberFormat="0" applyAlignment="0" applyProtection="0"/>
    <xf numFmtId="0" fontId="10" fillId="6" borderId="2" applyNumberFormat="0" applyAlignment="0" applyProtection="0"/>
    <xf numFmtId="9" fontId="17" fillId="0" borderId="0" applyFont="0" applyFill="0" applyBorder="0" applyAlignment="0" applyProtection="0"/>
  </cellStyleXfs>
  <cellXfs count="76">
    <xf numFmtId="0" fontId="0" fillId="0" borderId="0" xfId="0"/>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5" fillId="3" borderId="1" xfId="0" applyFont="1" applyFill="1" applyBorder="1" applyAlignment="1">
      <alignment horizontal="centerContinuous" vertical="center" wrapText="1"/>
    </xf>
    <xf numFmtId="0" fontId="3" fillId="3" borderId="1" xfId="0" applyFont="1" applyFill="1" applyBorder="1" applyAlignment="1">
      <alignment horizontal="centerContinuous" vertical="center" wrapText="1"/>
    </xf>
    <xf numFmtId="0" fontId="2" fillId="0" borderId="1" xfId="0" applyFont="1" applyBorder="1" applyAlignment="1">
      <alignmen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Continuous" vertical="center" wrapText="1"/>
    </xf>
    <xf numFmtId="0" fontId="6" fillId="2" borderId="1" xfId="0" applyFont="1" applyFill="1" applyBorder="1" applyAlignment="1">
      <alignment horizontal="center" vertical="center" wrapText="1"/>
    </xf>
    <xf numFmtId="0" fontId="0" fillId="0" borderId="1" xfId="0" applyBorder="1" applyAlignment="1">
      <alignment horizontal="center" vertical="center" wrapText="1"/>
    </xf>
    <xf numFmtId="0" fontId="7" fillId="0" borderId="0" xfId="0" applyFont="1" applyAlignment="1">
      <alignment horizontal="centerContinuous"/>
    </xf>
    <xf numFmtId="0" fontId="8" fillId="0" borderId="0" xfId="0" applyFont="1" applyAlignment="1">
      <alignment horizontal="centerContinuous"/>
    </xf>
    <xf numFmtId="0" fontId="0" fillId="0" borderId="0" xfId="0" applyAlignment="1">
      <alignment horizontal="center" vertical="top" wrapText="1"/>
    </xf>
    <xf numFmtId="0" fontId="0" fillId="0" borderId="0" xfId="0" applyAlignment="1">
      <alignment horizontal="left"/>
    </xf>
    <xf numFmtId="0" fontId="0" fillId="0" borderId="1" xfId="0" applyBorder="1" applyAlignment="1">
      <alignment horizontal="left" vertical="center"/>
    </xf>
    <xf numFmtId="0" fontId="0" fillId="0" borderId="1" xfId="0" applyBorder="1" applyAlignment="1">
      <alignment horizontal="left" vertical="center" wrapText="1"/>
    </xf>
    <xf numFmtId="0" fontId="14" fillId="7" borderId="1" xfId="0" applyFont="1" applyFill="1" applyBorder="1" applyAlignment="1">
      <alignment horizontal="center" vertical="top" wrapText="1"/>
    </xf>
    <xf numFmtId="0" fontId="0" fillId="0" borderId="0" xfId="0" applyAlignment="1">
      <alignment vertical="top" wrapText="1"/>
    </xf>
    <xf numFmtId="0" fontId="13" fillId="0" borderId="0" xfId="0" applyFont="1"/>
    <xf numFmtId="0" fontId="13" fillId="0" borderId="0" xfId="0" applyFont="1" applyAlignment="1">
      <alignment vertical="top" wrapText="1"/>
    </xf>
    <xf numFmtId="0" fontId="9" fillId="5" borderId="2" xfId="1" applyAlignment="1">
      <alignment horizontal="center"/>
    </xf>
    <xf numFmtId="9" fontId="9" fillId="5" borderId="2" xfId="1" applyNumberFormat="1" applyAlignment="1">
      <alignment horizontal="center"/>
    </xf>
    <xf numFmtId="0" fontId="10" fillId="6" borderId="2" xfId="2" applyAlignment="1">
      <alignment horizontal="center"/>
    </xf>
    <xf numFmtId="0" fontId="9" fillId="5" borderId="2" xfId="1" applyAlignment="1">
      <alignment horizontal="left"/>
    </xf>
    <xf numFmtId="0" fontId="0" fillId="8" borderId="0" xfId="0" applyFill="1"/>
    <xf numFmtId="0" fontId="0" fillId="8" borderId="0" xfId="0" applyFill="1" applyAlignment="1">
      <alignment horizontal="center" vertical="top" wrapText="1"/>
    </xf>
    <xf numFmtId="0" fontId="0" fillId="8" borderId="0" xfId="0" applyFill="1" applyAlignment="1">
      <alignment horizontal="center"/>
    </xf>
    <xf numFmtId="0" fontId="1" fillId="2" borderId="0" xfId="0" applyFont="1" applyFill="1" applyAlignment="1">
      <alignment horizontal="centerContinuous"/>
    </xf>
    <xf numFmtId="0" fontId="11" fillId="2" borderId="0" xfId="0" applyFont="1" applyFill="1" applyAlignment="1">
      <alignment horizontal="centerContinuous"/>
    </xf>
    <xf numFmtId="0" fontId="0" fillId="0" borderId="1" xfId="0" applyBorder="1"/>
    <xf numFmtId="0" fontId="12" fillId="9" borderId="0" xfId="0" applyFont="1" applyFill="1" applyAlignment="1">
      <alignment horizontal="center" vertical="top" wrapText="1"/>
    </xf>
    <xf numFmtId="0" fontId="0" fillId="9" borderId="0" xfId="0" applyFill="1" applyAlignment="1">
      <alignment horizontal="center" vertical="top" wrapText="1"/>
    </xf>
    <xf numFmtId="0" fontId="0" fillId="9" borderId="0" xfId="0" applyFill="1" applyAlignment="1">
      <alignment horizontal="centerContinuous" vertical="top" wrapText="1"/>
    </xf>
    <xf numFmtId="0" fontId="16" fillId="8" borderId="0" xfId="0" applyFont="1" applyFill="1"/>
    <xf numFmtId="0" fontId="16" fillId="0" borderId="0" xfId="0" applyFont="1"/>
    <xf numFmtId="0" fontId="16" fillId="0" borderId="0" xfId="0" applyFont="1" applyAlignment="1">
      <alignment horizontal="center"/>
    </xf>
    <xf numFmtId="0" fontId="0" fillId="0" borderId="1" xfId="0" quotePrefix="1" applyBorder="1" applyAlignment="1">
      <alignment horizontal="left" vertical="center" wrapText="1"/>
    </xf>
    <xf numFmtId="0" fontId="2" fillId="0" borderId="0" xfId="0" applyFont="1"/>
    <xf numFmtId="0" fontId="2" fillId="0" borderId="0" xfId="0" applyFont="1" applyAlignment="1">
      <alignment horizontal="center" vertical="center"/>
    </xf>
    <xf numFmtId="0" fontId="2" fillId="0" borderId="1" xfId="0" applyFont="1" applyBorder="1" applyAlignment="1">
      <alignment horizontal="center" vertical="top"/>
    </xf>
    <xf numFmtId="9" fontId="0" fillId="0" borderId="0" xfId="3" applyFont="1" applyAlignment="1">
      <alignment horizontal="center"/>
    </xf>
    <xf numFmtId="9" fontId="0" fillId="0" borderId="0" xfId="0" applyNumberFormat="1" applyAlignment="1">
      <alignment horizontal="center"/>
    </xf>
    <xf numFmtId="0" fontId="2" fillId="9" borderId="1" xfId="0" applyFont="1" applyFill="1" applyBorder="1" applyAlignment="1">
      <alignment horizontal="center" vertical="top" wrapText="1"/>
    </xf>
    <xf numFmtId="0" fontId="0" fillId="0" borderId="1" xfId="0" applyBorder="1" applyAlignment="1">
      <alignment horizontal="center"/>
    </xf>
    <xf numFmtId="0" fontId="6" fillId="2" borderId="0" xfId="0" applyFont="1" applyFill="1"/>
    <xf numFmtId="0" fontId="18" fillId="10" borderId="0" xfId="0" applyFont="1" applyFill="1" applyAlignment="1">
      <alignment horizontal="center" vertical="center" wrapText="1"/>
    </xf>
    <xf numFmtId="0" fontId="0" fillId="0" borderId="1" xfId="0" applyBorder="1" applyAlignment="1">
      <alignment horizontal="left" indent="1"/>
    </xf>
    <xf numFmtId="0" fontId="2" fillId="10" borderId="1" xfId="0" applyFont="1" applyFill="1" applyBorder="1" applyAlignment="1">
      <alignment horizontal="center" vertical="center"/>
    </xf>
    <xf numFmtId="0" fontId="2" fillId="10" borderId="1" xfId="0" applyFont="1" applyFill="1" applyBorder="1" applyAlignment="1">
      <alignment horizontal="center" vertical="center" wrapText="1"/>
    </xf>
    <xf numFmtId="9" fontId="2" fillId="10" borderId="1" xfId="3" applyFont="1" applyFill="1" applyBorder="1" applyAlignment="1">
      <alignment horizontal="center" vertical="center" wrapText="1"/>
    </xf>
    <xf numFmtId="9" fontId="0" fillId="0" borderId="1" xfId="3" applyFont="1" applyBorder="1" applyAlignment="1">
      <alignment horizont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4" fillId="7" borderId="1" xfId="0" applyFont="1" applyFill="1" applyBorder="1" applyAlignment="1">
      <alignment horizontal="center" vertical="top"/>
    </xf>
    <xf numFmtId="0" fontId="9" fillId="5" borderId="2" xfId="1"/>
    <xf numFmtId="0" fontId="11" fillId="2" borderId="1" xfId="0" applyFont="1" applyFill="1" applyBorder="1"/>
    <xf numFmtId="0" fontId="0" fillId="0" borderId="1" xfId="0" applyBorder="1" applyAlignment="1">
      <alignment horizontal="left" wrapText="1" indent="1"/>
    </xf>
    <xf numFmtId="9" fontId="16" fillId="0" borderId="0" xfId="3" applyFont="1" applyAlignment="1">
      <alignment horizontal="center"/>
    </xf>
    <xf numFmtId="0" fontId="19" fillId="0" borderId="1" xfId="0" applyFont="1" applyBorder="1" applyAlignment="1">
      <alignment horizontal="center"/>
    </xf>
    <xf numFmtId="9" fontId="19" fillId="0" borderId="1" xfId="3" applyFont="1" applyBorder="1" applyAlignment="1">
      <alignment horizontal="center"/>
    </xf>
    <xf numFmtId="0" fontId="0" fillId="0" borderId="3" xfId="0" applyBorder="1"/>
    <xf numFmtId="2" fontId="10" fillId="6" borderId="2" xfId="2" applyNumberFormat="1" applyAlignment="1">
      <alignment horizontal="center"/>
    </xf>
    <xf numFmtId="9" fontId="0" fillId="0" borderId="1" xfId="0" applyNumberFormat="1" applyBorder="1" applyAlignment="1">
      <alignment horizontal="center" vertical="center" wrapText="1"/>
    </xf>
    <xf numFmtId="2" fontId="0" fillId="0" borderId="0" xfId="0" applyNumberFormat="1" applyAlignment="1">
      <alignment horizontal="center"/>
    </xf>
    <xf numFmtId="0" fontId="0" fillId="0" borderId="0" xfId="0" applyAlignment="1">
      <alignment horizontal="center" wrapText="1"/>
    </xf>
    <xf numFmtId="0" fontId="0" fillId="11" borderId="0" xfId="0" applyFill="1"/>
    <xf numFmtId="0" fontId="0" fillId="12" borderId="0" xfId="0" applyFill="1"/>
    <xf numFmtId="0" fontId="0" fillId="0" borderId="0" xfId="0" applyAlignment="1">
      <alignment wrapText="1"/>
    </xf>
    <xf numFmtId="0" fontId="20" fillId="0" borderId="0" xfId="0" applyFont="1"/>
    <xf numFmtId="0" fontId="20" fillId="8" borderId="0" xfId="0" applyFont="1" applyFill="1"/>
  </cellXfs>
  <cellStyles count="4">
    <cellStyle name="Calculation" xfId="2" builtinId="22"/>
    <cellStyle name="Input" xfId="1" builtinId="20"/>
    <cellStyle name="Normal" xfId="0" builtinId="0"/>
    <cellStyle name="Percent" xfId="3" builtinId="5"/>
  </cellStyles>
  <dxfs count="130">
    <dxf>
      <font>
        <color theme="0"/>
      </font>
      <fill>
        <patternFill>
          <bgColor rgb="FF00B050"/>
        </patternFill>
      </fill>
    </dxf>
    <dxf>
      <font>
        <color rgb="FFFFFF00"/>
      </font>
      <fill>
        <patternFill>
          <bgColor rgb="FFFF0000"/>
        </patternFill>
      </fill>
    </dxf>
    <dxf>
      <font>
        <color theme="0"/>
      </font>
      <fill>
        <patternFill>
          <bgColor rgb="FFFFC000"/>
        </patternFill>
      </fill>
    </dxf>
    <dxf>
      <font>
        <color rgb="FF002060"/>
      </font>
      <fill>
        <patternFill>
          <bgColor rgb="FFFFFF00"/>
        </patternFill>
      </fill>
    </dxf>
    <dxf>
      <font>
        <color rgb="FF002060"/>
      </font>
      <fill>
        <patternFill>
          <bgColor theme="9" tint="0.59996337778862885"/>
        </patternFill>
      </fill>
    </dxf>
    <dxf>
      <font>
        <color rgb="FF002060"/>
      </font>
      <fill>
        <patternFill>
          <bgColor theme="9" tint="0.59996337778862885"/>
        </patternFill>
      </fill>
    </dxf>
    <dxf>
      <font>
        <color rgb="FF002060"/>
      </font>
      <fill>
        <patternFill>
          <bgColor rgb="FFFFFF00"/>
        </patternFill>
      </fill>
    </dxf>
    <dxf>
      <font>
        <color theme="0"/>
      </font>
      <fill>
        <patternFill>
          <bgColor rgb="FFFFC000"/>
        </patternFill>
      </fill>
    </dxf>
    <dxf>
      <font>
        <color rgb="FFFFFF00"/>
      </font>
      <fill>
        <patternFill>
          <bgColor rgb="FFFF0000"/>
        </patternFill>
      </fill>
    </dxf>
    <dxf>
      <font>
        <color theme="0"/>
      </font>
      <fill>
        <patternFill>
          <bgColor rgb="FF00B050"/>
        </patternFill>
      </fill>
    </dxf>
    <dxf>
      <font>
        <color theme="0"/>
      </font>
      <fill>
        <patternFill>
          <bgColor rgb="FF00B050"/>
        </patternFill>
      </fill>
    </dxf>
    <dxf>
      <font>
        <color rgb="FFFFFF00"/>
      </font>
      <fill>
        <patternFill>
          <bgColor rgb="FFFF0000"/>
        </patternFill>
      </fill>
    </dxf>
    <dxf>
      <font>
        <color theme="0"/>
      </font>
      <fill>
        <patternFill>
          <bgColor rgb="FFFFC000"/>
        </patternFill>
      </fill>
    </dxf>
    <dxf>
      <font>
        <color rgb="FF002060"/>
      </font>
      <fill>
        <patternFill>
          <bgColor rgb="FFFFFF00"/>
        </patternFill>
      </fill>
    </dxf>
    <dxf>
      <font>
        <color rgb="FF002060"/>
      </font>
      <fill>
        <patternFill>
          <bgColor theme="9" tint="0.59996337778862885"/>
        </patternFill>
      </fill>
    </dxf>
    <dxf>
      <font>
        <color rgb="FFFFFF00"/>
      </font>
      <fill>
        <patternFill>
          <bgColor rgb="FFFF000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theme="0"/>
      </font>
      <fill>
        <patternFill>
          <bgColor rgb="FFFFC000"/>
        </patternFill>
      </fill>
    </dxf>
    <dxf>
      <font>
        <color rgb="FFFFFF00"/>
      </font>
      <fill>
        <patternFill>
          <bgColor rgb="FFFF0000"/>
        </patternFill>
      </fill>
    </dxf>
    <dxf>
      <font>
        <color theme="0"/>
      </font>
      <fill>
        <patternFill>
          <bgColor rgb="FFFFC000"/>
        </patternFill>
      </fill>
    </dxf>
    <dxf>
      <font>
        <color rgb="FF002060"/>
      </font>
      <fill>
        <patternFill>
          <bgColor rgb="FFFFFF00"/>
        </patternFill>
      </fill>
    </dxf>
    <dxf>
      <font>
        <color rgb="FF002060"/>
      </font>
      <fill>
        <patternFill>
          <bgColor theme="9" tint="0.59996337778862885"/>
        </patternFill>
      </fill>
    </dxf>
    <dxf>
      <font>
        <color theme="0"/>
      </font>
      <fill>
        <patternFill>
          <bgColor rgb="FF00B050"/>
        </patternFill>
      </fill>
    </dxf>
    <dxf>
      <font>
        <color rgb="FFFFFF00"/>
      </font>
      <fill>
        <patternFill>
          <bgColor rgb="FFFF0000"/>
        </patternFill>
      </fill>
    </dxf>
    <dxf>
      <font>
        <color theme="0"/>
      </font>
      <fill>
        <patternFill>
          <bgColor rgb="FFFFC000"/>
        </patternFill>
      </fill>
    </dxf>
    <dxf>
      <font>
        <color rgb="FF002060"/>
      </font>
      <fill>
        <patternFill>
          <bgColor rgb="FFFFFF00"/>
        </patternFill>
      </fill>
    </dxf>
    <dxf>
      <font>
        <color rgb="FF002060"/>
      </font>
      <fill>
        <patternFill>
          <bgColor theme="9" tint="0.59996337778862885"/>
        </patternFill>
      </fill>
    </dxf>
    <dxf>
      <font>
        <color theme="0"/>
      </font>
      <fill>
        <patternFill>
          <bgColor rgb="FF00B050"/>
        </patternFill>
      </fill>
    </dxf>
    <dxf>
      <font>
        <color rgb="FF002060"/>
      </font>
      <fill>
        <patternFill>
          <bgColor theme="9" tint="0.59996337778862885"/>
        </patternFill>
      </fill>
    </dxf>
    <dxf>
      <font>
        <color rgb="FFFFFF00"/>
      </font>
      <fill>
        <patternFill>
          <bgColor rgb="FFFF0000"/>
        </patternFill>
      </fill>
    </dxf>
    <dxf>
      <font>
        <color theme="0"/>
      </font>
      <fill>
        <patternFill>
          <bgColor rgb="FFFFC000"/>
        </patternFill>
      </fill>
    </dxf>
    <dxf>
      <font>
        <color rgb="FF002060"/>
      </font>
      <fill>
        <patternFill>
          <bgColor rgb="FFFFFF00"/>
        </patternFill>
      </fill>
    </dxf>
    <dxf>
      <font>
        <color theme="0"/>
      </font>
      <fill>
        <patternFill>
          <bgColor rgb="FF00B050"/>
        </patternFill>
      </fill>
    </dxf>
    <dxf>
      <font>
        <color rgb="FFFFFF00"/>
      </font>
      <fill>
        <patternFill>
          <bgColor rgb="FFFF0000"/>
        </patternFill>
      </fill>
    </dxf>
    <dxf>
      <font>
        <color theme="0"/>
      </font>
      <fill>
        <patternFill>
          <bgColor rgb="FFFFC000"/>
        </patternFill>
      </fill>
    </dxf>
    <dxf>
      <font>
        <color rgb="FF002060"/>
      </font>
      <fill>
        <patternFill>
          <bgColor theme="9" tint="0.59996337778862885"/>
        </patternFill>
      </fill>
    </dxf>
    <dxf>
      <font>
        <color theme="0"/>
      </font>
      <fill>
        <patternFill>
          <bgColor rgb="FF00B050"/>
        </patternFill>
      </fill>
    </dxf>
    <dxf>
      <font>
        <color rgb="FF002060"/>
      </font>
      <fill>
        <patternFill>
          <bgColor rgb="FFFFFF00"/>
        </patternFill>
      </fill>
    </dxf>
    <dxf>
      <font>
        <color rgb="FFFFFF00"/>
      </font>
      <fill>
        <patternFill>
          <bgColor rgb="FFFF000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theme="0"/>
      </font>
      <fill>
        <patternFill>
          <bgColor rgb="FFFFC000"/>
        </patternFill>
      </fill>
    </dxf>
    <dxf>
      <font>
        <color rgb="FFFFFF00"/>
      </font>
      <fill>
        <patternFill>
          <bgColor rgb="FFFF000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theme="0"/>
      </font>
      <fill>
        <patternFill>
          <bgColor rgb="FFFFC000"/>
        </patternFill>
      </fill>
    </dxf>
    <dxf>
      <font>
        <color rgb="FF002060"/>
      </font>
      <fill>
        <patternFill>
          <bgColor theme="9" tint="0.59996337778862885"/>
        </patternFill>
      </fill>
    </dxf>
    <dxf>
      <font>
        <color theme="0"/>
      </font>
      <fill>
        <patternFill>
          <bgColor rgb="FF00B050"/>
        </patternFill>
      </fill>
    </dxf>
    <dxf>
      <font>
        <color rgb="FF002060"/>
      </font>
      <fill>
        <patternFill>
          <bgColor rgb="FFFFFF00"/>
        </patternFill>
      </fill>
    </dxf>
    <dxf>
      <font>
        <color theme="0"/>
      </font>
      <fill>
        <patternFill>
          <bgColor rgb="FFFFC000"/>
        </patternFill>
      </fill>
    </dxf>
    <dxf>
      <font>
        <color rgb="FFFFFF00"/>
      </font>
      <fill>
        <patternFill>
          <bgColor rgb="FFFF0000"/>
        </patternFill>
      </fill>
    </dxf>
    <dxf>
      <font>
        <color rgb="FF002060"/>
      </font>
      <fill>
        <patternFill>
          <bgColor theme="9" tint="0.59996337778862885"/>
        </patternFill>
      </fill>
    </dxf>
    <dxf>
      <font>
        <color theme="0"/>
      </font>
      <fill>
        <patternFill>
          <bgColor rgb="FF00B050"/>
        </patternFill>
      </fill>
    </dxf>
    <dxf>
      <font>
        <color rgb="FF002060"/>
      </font>
      <fill>
        <patternFill>
          <bgColor rgb="FFFFFF00"/>
        </patternFill>
      </fill>
    </dxf>
    <dxf>
      <font>
        <color theme="0"/>
      </font>
      <fill>
        <patternFill>
          <bgColor rgb="FFFFC000"/>
        </patternFill>
      </fill>
    </dxf>
    <dxf>
      <font>
        <color rgb="FFFFFF00"/>
      </font>
      <fill>
        <patternFill>
          <bgColor rgb="FFFF000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theme="0"/>
      </font>
      <fill>
        <patternFill>
          <bgColor rgb="FFFFC000"/>
        </patternFill>
      </fill>
    </dxf>
    <dxf>
      <font>
        <color rgb="FFFFFF00"/>
      </font>
      <fill>
        <patternFill>
          <bgColor rgb="FFFF0000"/>
        </patternFill>
      </fill>
    </dxf>
    <dxf>
      <font>
        <color rgb="FF002060"/>
      </font>
      <fill>
        <patternFill>
          <bgColor theme="9" tint="0.59996337778862885"/>
        </patternFill>
      </fill>
    </dxf>
    <dxf>
      <font>
        <color rgb="FF002060"/>
      </font>
      <fill>
        <patternFill>
          <bgColor rgb="FFFFFF00"/>
        </patternFill>
      </fill>
    </dxf>
    <dxf>
      <font>
        <color rgb="FFFFFF0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rgb="FFFFFF00"/>
      </font>
      <fill>
        <patternFill>
          <bgColor rgb="FFFF0000"/>
        </patternFill>
      </fill>
    </dxf>
    <dxf>
      <font>
        <color theme="0"/>
      </font>
      <fill>
        <patternFill>
          <bgColor rgb="FFFFC000"/>
        </patternFill>
      </fill>
    </dxf>
    <dxf>
      <font>
        <color theme="0"/>
      </font>
      <fill>
        <patternFill>
          <bgColor rgb="FFFFC000"/>
        </patternFill>
      </fill>
    </dxf>
    <dxf>
      <font>
        <color rgb="FFFFFF00"/>
      </font>
      <fill>
        <patternFill>
          <bgColor rgb="FFFF000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rgb="FFFFFF00"/>
      </font>
      <fill>
        <patternFill>
          <bgColor rgb="FFFF0000"/>
        </patternFill>
      </fill>
    </dxf>
    <dxf>
      <font>
        <color rgb="FF002060"/>
      </font>
      <fill>
        <patternFill>
          <bgColor rgb="FFFFFF00"/>
        </patternFill>
      </fill>
    </dxf>
    <dxf>
      <font>
        <color theme="0"/>
      </font>
      <fill>
        <patternFill>
          <bgColor rgb="FF00B050"/>
        </patternFill>
      </fill>
    </dxf>
    <dxf>
      <font>
        <color theme="0"/>
      </font>
      <fill>
        <patternFill>
          <bgColor rgb="FFFFC000"/>
        </patternFill>
      </fill>
    </dxf>
    <dxf>
      <font>
        <color rgb="FF002060"/>
      </font>
      <fill>
        <patternFill>
          <bgColor theme="9" tint="0.59996337778862885"/>
        </patternFill>
      </fill>
    </dxf>
    <dxf>
      <font>
        <color rgb="FF002060"/>
      </font>
      <fill>
        <patternFill>
          <bgColor rgb="FFFFFF00"/>
        </patternFill>
      </fill>
    </dxf>
    <dxf>
      <font>
        <color theme="0"/>
      </font>
      <fill>
        <patternFill>
          <bgColor rgb="FF00B050"/>
        </patternFill>
      </fill>
    </dxf>
    <dxf>
      <font>
        <color rgb="FF002060"/>
      </font>
      <fill>
        <patternFill>
          <bgColor theme="9" tint="0.59996337778862885"/>
        </patternFill>
      </fill>
    </dxf>
    <dxf>
      <font>
        <color theme="0"/>
      </font>
      <fill>
        <patternFill>
          <bgColor rgb="FFFFC000"/>
        </patternFill>
      </fill>
    </dxf>
    <dxf>
      <font>
        <color rgb="FFFFFF00"/>
      </font>
      <fill>
        <patternFill>
          <bgColor rgb="FFFF000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theme="0"/>
      </font>
      <fill>
        <patternFill>
          <bgColor rgb="FFFFC000"/>
        </patternFill>
      </fill>
    </dxf>
    <dxf>
      <font>
        <color rgb="FFFFFF00"/>
      </font>
      <fill>
        <patternFill>
          <bgColor rgb="FFFF0000"/>
        </patternFill>
      </fill>
    </dxf>
    <dxf>
      <font>
        <color rgb="FFFFFF00"/>
      </font>
      <fill>
        <patternFill>
          <bgColor rgb="FFFF0000"/>
        </patternFill>
      </fill>
    </dxf>
    <dxf>
      <font>
        <color theme="0"/>
      </font>
      <fill>
        <patternFill>
          <bgColor rgb="FF00B050"/>
        </patternFill>
      </fill>
    </dxf>
    <dxf>
      <font>
        <color rgb="FF002060"/>
      </font>
      <fill>
        <patternFill>
          <bgColor rgb="FFFFFF00"/>
        </patternFill>
      </fill>
    </dxf>
    <dxf>
      <font>
        <color rgb="FF002060"/>
      </font>
      <fill>
        <patternFill>
          <bgColor theme="9" tint="0.59996337778862885"/>
        </patternFill>
      </fill>
    </dxf>
    <dxf>
      <font>
        <color theme="0"/>
      </font>
      <fill>
        <patternFill>
          <bgColor rgb="FFFFC00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theme="0"/>
      </font>
      <fill>
        <patternFill>
          <bgColor rgb="FFFFC000"/>
        </patternFill>
      </fill>
    </dxf>
    <dxf>
      <font>
        <color rgb="FFFFFF00"/>
      </font>
      <fill>
        <patternFill>
          <bgColor rgb="FFFF0000"/>
        </patternFill>
      </fill>
    </dxf>
    <dxf>
      <font>
        <color theme="0"/>
      </font>
      <fill>
        <patternFill>
          <bgColor rgb="FF00B050"/>
        </patternFill>
      </fill>
    </dxf>
    <dxf>
      <font>
        <color rgb="FF002060"/>
      </font>
      <fill>
        <patternFill>
          <bgColor rgb="FFFFFF00"/>
        </patternFill>
      </fill>
    </dxf>
    <dxf>
      <font>
        <color theme="0"/>
      </font>
      <fill>
        <patternFill>
          <bgColor rgb="FFFFC000"/>
        </patternFill>
      </fill>
    </dxf>
    <dxf>
      <font>
        <color rgb="FFFFFF00"/>
      </font>
      <fill>
        <patternFill>
          <bgColor rgb="FFFF0000"/>
        </patternFill>
      </fill>
    </dxf>
    <dxf>
      <font>
        <color rgb="FF002060"/>
      </font>
      <fill>
        <patternFill>
          <bgColor theme="9" tint="0.59996337778862885"/>
        </patternFill>
      </fill>
    </dxf>
    <dxf>
      <font>
        <color theme="0"/>
      </font>
      <fill>
        <patternFill>
          <bgColor rgb="FFFFC00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rgb="FFFFFF00"/>
      </font>
      <fill>
        <patternFill>
          <bgColor rgb="FFFF0000"/>
        </patternFill>
      </fill>
    </dxf>
    <dxf>
      <font>
        <color theme="0"/>
      </font>
      <fill>
        <patternFill>
          <bgColor rgb="FFFFC000"/>
        </patternFill>
      </fill>
    </dxf>
    <dxf>
      <font>
        <color theme="0"/>
      </font>
      <fill>
        <patternFill>
          <bgColor rgb="FF00B050"/>
        </patternFill>
      </fill>
    </dxf>
    <dxf>
      <font>
        <color rgb="FF002060"/>
      </font>
      <fill>
        <patternFill>
          <bgColor theme="9" tint="0.59996337778862885"/>
        </patternFill>
      </fill>
    </dxf>
    <dxf>
      <font>
        <color rgb="FF002060"/>
      </font>
      <fill>
        <patternFill>
          <bgColor rgb="FFFFFF00"/>
        </patternFill>
      </fill>
    </dxf>
    <dxf>
      <font>
        <color rgb="FFFFFF00"/>
      </font>
      <fill>
        <patternFill>
          <bgColor rgb="FFFF0000"/>
        </patternFill>
      </fill>
    </dxf>
    <dxf>
      <font>
        <color rgb="FFFFFF00"/>
      </font>
      <fill>
        <patternFill>
          <bgColor rgb="FFFF0000"/>
        </patternFill>
      </fill>
    </dxf>
    <dxf>
      <font>
        <color rgb="FF002060"/>
      </font>
      <fill>
        <patternFill>
          <bgColor rgb="FFFFFF00"/>
        </patternFill>
      </fill>
    </dxf>
    <dxf>
      <font>
        <color theme="0"/>
      </font>
      <fill>
        <patternFill>
          <bgColor rgb="FFFFC000"/>
        </patternFill>
      </fill>
    </dxf>
    <dxf>
      <font>
        <color theme="0"/>
      </font>
      <fill>
        <patternFill>
          <bgColor rgb="FF00B050"/>
        </patternFill>
      </fill>
    </dxf>
    <dxf>
      <font>
        <color rgb="FF002060"/>
      </font>
      <fill>
        <patternFill>
          <bgColor theme="9" tint="0.59996337778862885"/>
        </patternFill>
      </fill>
    </dxf>
    <dxf>
      <font>
        <color theme="0"/>
      </font>
      <fill>
        <patternFill>
          <bgColor rgb="FFFFC000"/>
        </patternFill>
      </fill>
    </dxf>
    <dxf>
      <font>
        <color rgb="FF002060"/>
      </font>
      <fill>
        <patternFill>
          <bgColor rgb="FFFFFF00"/>
        </patternFill>
      </fill>
    </dxf>
    <dxf>
      <font>
        <color rgb="FF002060"/>
      </font>
      <fill>
        <patternFill>
          <bgColor theme="9" tint="0.59996337778862885"/>
        </patternFill>
      </fill>
    </dxf>
    <dxf>
      <font>
        <color theme="0"/>
      </font>
      <fill>
        <patternFill>
          <bgColor rgb="FF00B050"/>
        </patternFill>
      </fill>
    </dxf>
    <dxf>
      <font>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F0A0F-84B1-4C27-8866-55AEDE75F98E}">
  <dimension ref="A1:E14"/>
  <sheetViews>
    <sheetView workbookViewId="0">
      <pane xSplit="4" ySplit="1" topLeftCell="E10" activePane="bottomRight" state="frozen"/>
      <selection pane="topRight" activeCell="E1" sqref="E1"/>
      <selection pane="bottomLeft" activeCell="A4" sqref="A4"/>
      <selection pane="bottomRight" activeCell="E13" sqref="E13"/>
    </sheetView>
  </sheetViews>
  <sheetFormatPr defaultColWidth="9.06640625" defaultRowHeight="14.25" x14ac:dyDescent="0.45"/>
  <cols>
    <col min="1" max="1" width="9.06640625" style="6"/>
    <col min="2" max="2" width="6.33203125" style="1" bestFit="1" customWidth="1"/>
    <col min="3" max="3" width="30.06640625" style="1" bestFit="1" customWidth="1"/>
    <col min="4" max="4" width="16.06640625" style="1" customWidth="1"/>
    <col min="5" max="5" width="51.59765625" style="1" customWidth="1"/>
    <col min="6" max="16384" width="9.06640625" style="1"/>
  </cols>
  <sheetData>
    <row r="1" spans="1:5" x14ac:dyDescent="0.45">
      <c r="A1" s="4" t="s">
        <v>8</v>
      </c>
      <c r="B1" s="4" t="s">
        <v>0</v>
      </c>
      <c r="C1" s="4" t="s">
        <v>1</v>
      </c>
      <c r="D1" s="4" t="s">
        <v>2</v>
      </c>
      <c r="E1" s="4" t="s">
        <v>3</v>
      </c>
    </row>
    <row r="2" spans="1:5" ht="85.5" x14ac:dyDescent="0.45">
      <c r="A2" s="5">
        <v>1</v>
      </c>
      <c r="B2" s="3"/>
      <c r="C2" s="3" t="s">
        <v>4</v>
      </c>
      <c r="D2" s="3" t="s">
        <v>20</v>
      </c>
      <c r="E2" s="3" t="s">
        <v>18</v>
      </c>
    </row>
    <row r="3" spans="1:5" ht="57" x14ac:dyDescent="0.45">
      <c r="A3" s="5"/>
      <c r="B3" s="3"/>
      <c r="C3" s="3" t="s">
        <v>5</v>
      </c>
      <c r="D3" s="3" t="s">
        <v>32</v>
      </c>
      <c r="E3" s="3" t="s">
        <v>30</v>
      </c>
    </row>
    <row r="4" spans="1:5" x14ac:dyDescent="0.45">
      <c r="A4" s="5"/>
      <c r="B4" s="2"/>
      <c r="C4" s="2"/>
      <c r="D4" s="2"/>
      <c r="E4" s="2"/>
    </row>
    <row r="5" spans="1:5" ht="28.5" x14ac:dyDescent="0.45">
      <c r="A5" s="5"/>
      <c r="B5" s="3"/>
      <c r="C5" s="3" t="s">
        <v>12</v>
      </c>
      <c r="D5" s="3" t="s">
        <v>21</v>
      </c>
      <c r="E5" s="3" t="s">
        <v>11</v>
      </c>
    </row>
    <row r="6" spans="1:5" x14ac:dyDescent="0.45">
      <c r="A6" s="5"/>
      <c r="B6" s="2"/>
      <c r="C6" s="2" t="s">
        <v>22</v>
      </c>
      <c r="D6" s="2" t="s">
        <v>23</v>
      </c>
      <c r="E6" s="3" t="s">
        <v>13</v>
      </c>
    </row>
    <row r="7" spans="1:5" x14ac:dyDescent="0.45">
      <c r="A7" s="5"/>
      <c r="B7" s="3"/>
      <c r="C7" s="3" t="s">
        <v>9</v>
      </c>
      <c r="D7" s="3" t="s">
        <v>10</v>
      </c>
      <c r="E7" s="3" t="s">
        <v>13</v>
      </c>
    </row>
    <row r="8" spans="1:5" x14ac:dyDescent="0.45">
      <c r="A8" s="5"/>
      <c r="B8" s="2"/>
      <c r="C8" s="2" t="s">
        <v>24</v>
      </c>
      <c r="D8" s="2" t="s">
        <v>25</v>
      </c>
      <c r="E8" s="3" t="s">
        <v>13</v>
      </c>
    </row>
    <row r="9" spans="1:5" x14ac:dyDescent="0.45">
      <c r="A9" s="5"/>
      <c r="B9" s="3"/>
      <c r="C9" s="3" t="s">
        <v>14</v>
      </c>
      <c r="D9" s="3" t="s">
        <v>10</v>
      </c>
      <c r="E9" s="3" t="s">
        <v>13</v>
      </c>
    </row>
    <row r="10" spans="1:5" ht="71.25" x14ac:dyDescent="0.45">
      <c r="A10" s="5"/>
      <c r="B10" s="3"/>
      <c r="C10" s="3" t="s">
        <v>26</v>
      </c>
      <c r="D10" s="3" t="s">
        <v>7</v>
      </c>
      <c r="E10" s="3" t="s">
        <v>29</v>
      </c>
    </row>
    <row r="11" spans="1:5" x14ac:dyDescent="0.45">
      <c r="A11" s="5"/>
      <c r="B11" s="3"/>
      <c r="C11" s="3" t="s">
        <v>27</v>
      </c>
      <c r="D11" s="3" t="s">
        <v>7</v>
      </c>
      <c r="E11" s="3" t="s">
        <v>13</v>
      </c>
    </row>
    <row r="12" spans="1:5" x14ac:dyDescent="0.45">
      <c r="A12" s="5"/>
      <c r="B12" s="3"/>
      <c r="C12" s="3" t="s">
        <v>28</v>
      </c>
      <c r="D12" s="3" t="s">
        <v>7</v>
      </c>
      <c r="E12" s="3" t="s">
        <v>13</v>
      </c>
    </row>
    <row r="13" spans="1:5" x14ac:dyDescent="0.45">
      <c r="A13" s="5"/>
      <c r="B13" s="3"/>
      <c r="C13" s="3" t="s">
        <v>15</v>
      </c>
      <c r="D13" s="3" t="s">
        <v>16</v>
      </c>
      <c r="E13" s="3" t="s">
        <v>17</v>
      </c>
    </row>
    <row r="14" spans="1:5" ht="85.5" x14ac:dyDescent="0.45">
      <c r="A14" s="5">
        <v>3</v>
      </c>
      <c r="B14" s="3"/>
      <c r="C14" s="3" t="s">
        <v>6</v>
      </c>
      <c r="D14" s="3" t="s">
        <v>31</v>
      </c>
      <c r="E14" s="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FE33-EFAB-4CB4-A3C3-5F5373A36770}">
  <dimension ref="A1"/>
  <sheetViews>
    <sheetView showGridLines="0" zoomScaleNormal="100" workbookViewId="0"/>
  </sheetViews>
  <sheetFormatPr defaultRowHeight="14.25" x14ac:dyDescent="0.45"/>
  <cols>
    <col min="1" max="1" width="174.06640625" customWidth="1"/>
  </cols>
  <sheetData>
    <row r="1" spans="1:1" ht="409.5" customHeight="1" x14ac:dyDescent="0.45">
      <c r="A1" s="50" t="s">
        <v>281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FE1E9-2350-443E-AF6B-7CDA912F853C}">
  <sheetPr>
    <pageSetUpPr fitToPage="1"/>
  </sheetPr>
  <dimension ref="B1:E29"/>
  <sheetViews>
    <sheetView showGridLines="0" zoomScale="131" workbookViewId="0">
      <selection activeCell="B1" sqref="B1"/>
    </sheetView>
  </sheetViews>
  <sheetFormatPr defaultColWidth="27.19921875" defaultRowHeight="14.25" x14ac:dyDescent="0.45"/>
  <cols>
    <col min="1" max="1" width="1.796875" customWidth="1"/>
    <col min="2" max="2" width="15.796875" style="7" customWidth="1"/>
    <col min="5" max="5" width="48.9296875" customWidth="1"/>
    <col min="6" max="6" width="2.796875" customWidth="1"/>
  </cols>
  <sheetData>
    <row r="1" spans="2:5" ht="37.15" x14ac:dyDescent="1.1499999999999999">
      <c r="B1" s="15" t="s">
        <v>280</v>
      </c>
      <c r="C1" s="15"/>
      <c r="D1" s="15"/>
      <c r="E1" s="15"/>
    </row>
    <row r="2" spans="2:5" ht="23.25" x14ac:dyDescent="0.7">
      <c r="B2" s="16" t="s">
        <v>67</v>
      </c>
      <c r="C2" s="16"/>
      <c r="D2" s="16"/>
      <c r="E2" s="16"/>
    </row>
    <row r="4" spans="2:5" ht="18" x14ac:dyDescent="0.45">
      <c r="B4" s="13" t="s">
        <v>0</v>
      </c>
      <c r="C4" s="13" t="s">
        <v>33</v>
      </c>
      <c r="D4" s="13" t="s">
        <v>2</v>
      </c>
      <c r="E4" s="13" t="s">
        <v>3</v>
      </c>
    </row>
    <row r="5" spans="2:5" ht="21" x14ac:dyDescent="0.45">
      <c r="B5" s="8" t="s">
        <v>64</v>
      </c>
      <c r="C5" s="9"/>
      <c r="D5" s="9"/>
      <c r="E5" s="9"/>
    </row>
    <row r="6" spans="2:5" ht="85.5" x14ac:dyDescent="0.45">
      <c r="B6" s="14" t="s">
        <v>34</v>
      </c>
      <c r="C6" s="3" t="s">
        <v>4</v>
      </c>
      <c r="D6" s="10" t="s">
        <v>47</v>
      </c>
      <c r="E6" s="3" t="s">
        <v>46</v>
      </c>
    </row>
    <row r="7" spans="2:5" ht="57" x14ac:dyDescent="0.45">
      <c r="B7" s="14" t="s">
        <v>35</v>
      </c>
      <c r="C7" s="3" t="s">
        <v>36</v>
      </c>
      <c r="D7" s="10" t="s">
        <v>279</v>
      </c>
      <c r="E7" s="3" t="s">
        <v>48</v>
      </c>
    </row>
    <row r="8" spans="2:5" ht="128.25" x14ac:dyDescent="0.45">
      <c r="B8" s="14" t="s">
        <v>37</v>
      </c>
      <c r="C8" s="3" t="s">
        <v>38</v>
      </c>
      <c r="D8" s="10" t="s">
        <v>21</v>
      </c>
      <c r="E8" s="3" t="s">
        <v>54</v>
      </c>
    </row>
    <row r="9" spans="2:5" ht="14.55" x14ac:dyDescent="0.35">
      <c r="B9" s="11" t="s">
        <v>39</v>
      </c>
      <c r="C9" s="12" t="s">
        <v>40</v>
      </c>
      <c r="D9" s="12"/>
      <c r="E9" s="12"/>
    </row>
    <row r="10" spans="2:5" ht="130.5" x14ac:dyDescent="0.35">
      <c r="B10" s="14" t="s">
        <v>41</v>
      </c>
      <c r="C10" s="3" t="s">
        <v>189</v>
      </c>
      <c r="D10" s="10" t="s">
        <v>42</v>
      </c>
      <c r="E10" s="3" t="s">
        <v>54</v>
      </c>
    </row>
    <row r="11" spans="2:5" ht="14.55" x14ac:dyDescent="0.35">
      <c r="B11" s="11" t="s">
        <v>43</v>
      </c>
      <c r="C11" s="12" t="s">
        <v>44</v>
      </c>
      <c r="D11" s="12"/>
      <c r="E11" s="12"/>
    </row>
    <row r="12" spans="2:5" ht="43.5" x14ac:dyDescent="0.35">
      <c r="B12" s="14" t="s">
        <v>45</v>
      </c>
      <c r="C12" s="3" t="s">
        <v>59</v>
      </c>
      <c r="D12" s="3" t="s">
        <v>7</v>
      </c>
      <c r="E12" s="3" t="s">
        <v>57</v>
      </c>
    </row>
    <row r="15" spans="2:5" ht="21" x14ac:dyDescent="0.35">
      <c r="B15" s="8" t="s">
        <v>65</v>
      </c>
      <c r="C15" s="9"/>
      <c r="D15" s="9"/>
      <c r="E15" s="9"/>
    </row>
    <row r="16" spans="2:5" ht="130.5" x14ac:dyDescent="0.35">
      <c r="B16" s="14" t="s">
        <v>49</v>
      </c>
      <c r="C16" s="3" t="s">
        <v>9</v>
      </c>
      <c r="D16" s="10" t="s">
        <v>50</v>
      </c>
      <c r="E16" s="3" t="s">
        <v>54</v>
      </c>
    </row>
    <row r="17" spans="2:5" ht="14.55" x14ac:dyDescent="0.35">
      <c r="B17" s="11" t="s">
        <v>39</v>
      </c>
      <c r="C17" s="12" t="s">
        <v>40</v>
      </c>
      <c r="D17" s="12"/>
      <c r="E17" s="12"/>
    </row>
    <row r="18" spans="2:5" ht="145.05000000000001" x14ac:dyDescent="0.35">
      <c r="B18" s="14" t="s">
        <v>51</v>
      </c>
      <c r="C18" s="3" t="s">
        <v>24</v>
      </c>
      <c r="D18" s="10" t="s">
        <v>25</v>
      </c>
      <c r="E18" s="3" t="s">
        <v>55</v>
      </c>
    </row>
    <row r="19" spans="2:5" ht="14.55" x14ac:dyDescent="0.35">
      <c r="B19" s="11" t="s">
        <v>43</v>
      </c>
      <c r="C19" s="12" t="s">
        <v>44</v>
      </c>
      <c r="D19" s="12"/>
      <c r="E19" s="12"/>
    </row>
    <row r="20" spans="2:5" ht="43.5" x14ac:dyDescent="0.35">
      <c r="B20" s="14" t="s">
        <v>53</v>
      </c>
      <c r="C20" s="3" t="s">
        <v>58</v>
      </c>
      <c r="D20" s="3" t="s">
        <v>7</v>
      </c>
      <c r="E20" s="3" t="s">
        <v>57</v>
      </c>
    </row>
    <row r="22" spans="2:5" ht="21" x14ac:dyDescent="0.35">
      <c r="B22" s="8" t="s">
        <v>66</v>
      </c>
      <c r="C22" s="9"/>
      <c r="D22" s="9"/>
      <c r="E22" s="9"/>
    </row>
    <row r="23" spans="2:5" ht="159.5" x14ac:dyDescent="0.35">
      <c r="B23" s="14" t="s">
        <v>49</v>
      </c>
      <c r="C23" s="3" t="s">
        <v>14</v>
      </c>
      <c r="D23" s="10" t="s">
        <v>52</v>
      </c>
      <c r="E23" s="3" t="s">
        <v>56</v>
      </c>
    </row>
    <row r="24" spans="2:5" ht="14.55" x14ac:dyDescent="0.35">
      <c r="B24" s="11" t="s">
        <v>39</v>
      </c>
      <c r="C24" s="12" t="s">
        <v>40</v>
      </c>
      <c r="D24" s="12"/>
      <c r="E24" s="12"/>
    </row>
    <row r="25" spans="2:5" ht="43.5" x14ac:dyDescent="0.35">
      <c r="B25" s="14" t="s">
        <v>41</v>
      </c>
      <c r="C25" s="3" t="s">
        <v>61</v>
      </c>
      <c r="D25" s="3" t="s">
        <v>7</v>
      </c>
      <c r="E25" s="3" t="s">
        <v>57</v>
      </c>
    </row>
    <row r="26" spans="2:5" ht="14.55" x14ac:dyDescent="0.35">
      <c r="B26" s="11" t="s">
        <v>43</v>
      </c>
      <c r="C26" s="12" t="s">
        <v>44</v>
      </c>
      <c r="D26" s="12"/>
      <c r="E26" s="12"/>
    </row>
    <row r="27" spans="2:5" ht="145.05000000000001" x14ac:dyDescent="0.35">
      <c r="B27" s="14" t="s">
        <v>275</v>
      </c>
      <c r="C27" s="3" t="s">
        <v>276</v>
      </c>
      <c r="D27" s="3" t="s">
        <v>31</v>
      </c>
      <c r="E27" s="3" t="s">
        <v>277</v>
      </c>
    </row>
    <row r="28" spans="2:5" ht="43.5" x14ac:dyDescent="0.35">
      <c r="B28" s="14" t="s">
        <v>278</v>
      </c>
      <c r="C28" s="3" t="s">
        <v>15</v>
      </c>
      <c r="D28" s="3" t="s">
        <v>7</v>
      </c>
      <c r="E28" s="3" t="s">
        <v>63</v>
      </c>
    </row>
    <row r="29" spans="2:5" ht="14.55" x14ac:dyDescent="0.35">
      <c r="B29" s="11" t="s">
        <v>62</v>
      </c>
      <c r="C29" s="12" t="s">
        <v>60</v>
      </c>
      <c r="D29" s="12"/>
      <c r="E29" s="12"/>
    </row>
  </sheetData>
  <pageMargins left="0.2" right="0.2" top="0.25" bottom="0.25" header="0.05" footer="0.05"/>
  <pageSetup paperSize="9" fitToHeight="10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1FF2-2C24-4DCF-BE43-830B7839750F}">
  <dimension ref="B3:F63"/>
  <sheetViews>
    <sheetView topLeftCell="A22" workbookViewId="0">
      <selection activeCell="B47" sqref="A47:XFD63"/>
    </sheetView>
  </sheetViews>
  <sheetFormatPr defaultRowHeight="14.25" x14ac:dyDescent="0.45"/>
  <cols>
    <col min="2" max="2" width="41.796875" bestFit="1" customWidth="1"/>
    <col min="6" max="6" width="14.19921875" bestFit="1" customWidth="1"/>
  </cols>
  <sheetData>
    <row r="3" spans="6:6" ht="21" x14ac:dyDescent="0.45">
      <c r="F3" s="21" t="s">
        <v>184</v>
      </c>
    </row>
    <row r="4" spans="6:6" x14ac:dyDescent="0.45">
      <c r="F4" s="19" t="s">
        <v>185</v>
      </c>
    </row>
    <row r="5" spans="6:6" x14ac:dyDescent="0.45">
      <c r="F5" s="19" t="s">
        <v>186</v>
      </c>
    </row>
    <row r="6" spans="6:6" x14ac:dyDescent="0.45">
      <c r="F6" s="19" t="s">
        <v>187</v>
      </c>
    </row>
    <row r="7" spans="6:6" x14ac:dyDescent="0.45">
      <c r="F7" s="19" t="s">
        <v>188</v>
      </c>
    </row>
    <row r="8" spans="6:6" x14ac:dyDescent="0.45">
      <c r="F8" s="19" t="s">
        <v>191</v>
      </c>
    </row>
    <row r="9" spans="6:6" x14ac:dyDescent="0.45">
      <c r="F9" s="19" t="s">
        <v>190</v>
      </c>
    </row>
    <row r="10" spans="6:6" x14ac:dyDescent="0.45">
      <c r="F10" s="34"/>
    </row>
    <row r="11" spans="6:6" x14ac:dyDescent="0.45">
      <c r="F11" s="34"/>
    </row>
    <row r="12" spans="6:6" x14ac:dyDescent="0.45">
      <c r="F12" s="34"/>
    </row>
    <row r="13" spans="6:6" x14ac:dyDescent="0.45">
      <c r="F13" s="34"/>
    </row>
    <row r="14" spans="6:6" x14ac:dyDescent="0.45">
      <c r="F14" s="34"/>
    </row>
    <row r="19" spans="2:4" x14ac:dyDescent="0.45">
      <c r="B19" t="s">
        <v>223</v>
      </c>
    </row>
    <row r="21" spans="2:4" x14ac:dyDescent="0.45">
      <c r="B21" s="42" t="s">
        <v>224</v>
      </c>
    </row>
    <row r="22" spans="2:4" x14ac:dyDescent="0.45">
      <c r="B22" t="s">
        <v>81</v>
      </c>
      <c r="C22" t="s">
        <v>228</v>
      </c>
    </row>
    <row r="23" spans="2:4" x14ac:dyDescent="0.45">
      <c r="B23" t="s">
        <v>225</v>
      </c>
      <c r="C23" t="s">
        <v>85</v>
      </c>
    </row>
    <row r="24" spans="2:4" x14ac:dyDescent="0.45">
      <c r="B24" t="s">
        <v>229</v>
      </c>
      <c r="C24" t="s">
        <v>226</v>
      </c>
    </row>
    <row r="25" spans="2:4" x14ac:dyDescent="0.45">
      <c r="B25" t="s">
        <v>230</v>
      </c>
      <c r="C25" t="s">
        <v>227</v>
      </c>
    </row>
    <row r="26" spans="2:4" x14ac:dyDescent="0.45">
      <c r="B26" t="s">
        <v>231</v>
      </c>
      <c r="C26" t="s">
        <v>87</v>
      </c>
    </row>
    <row r="29" spans="2:4" x14ac:dyDescent="0.45">
      <c r="B29" s="43" t="s">
        <v>232</v>
      </c>
      <c r="C29" s="43" t="s">
        <v>234</v>
      </c>
      <c r="D29" s="43" t="s">
        <v>233</v>
      </c>
    </row>
    <row r="30" spans="2:4" x14ac:dyDescent="0.45">
      <c r="B30" s="1" t="s">
        <v>239</v>
      </c>
      <c r="C30" s="1">
        <v>0.4</v>
      </c>
      <c r="D30" s="1" t="s">
        <v>235</v>
      </c>
    </row>
    <row r="31" spans="2:4" x14ac:dyDescent="0.45">
      <c r="B31" s="1" t="s">
        <v>80</v>
      </c>
      <c r="C31" s="1">
        <v>0.3</v>
      </c>
      <c r="D31" s="1" t="s">
        <v>236</v>
      </c>
    </row>
    <row r="32" spans="2:4" x14ac:dyDescent="0.45">
      <c r="B32" s="1" t="s">
        <v>240</v>
      </c>
      <c r="C32" s="1">
        <v>0.2</v>
      </c>
      <c r="D32" s="1" t="s">
        <v>237</v>
      </c>
    </row>
    <row r="33" spans="2:5" x14ac:dyDescent="0.45">
      <c r="B33" s="1" t="s">
        <v>241</v>
      </c>
      <c r="C33" s="1">
        <v>0.1</v>
      </c>
      <c r="D33" s="1" t="s">
        <v>238</v>
      </c>
    </row>
    <row r="36" spans="2:5" x14ac:dyDescent="0.45">
      <c r="B36" s="44" t="s">
        <v>234</v>
      </c>
    </row>
    <row r="37" spans="2:5" x14ac:dyDescent="0.45">
      <c r="B37" t="s">
        <v>76</v>
      </c>
    </row>
    <row r="38" spans="2:5" x14ac:dyDescent="0.45">
      <c r="B38" s="44" t="s">
        <v>90</v>
      </c>
      <c r="C38" s="44" t="s">
        <v>89</v>
      </c>
      <c r="D38" s="44" t="s">
        <v>234</v>
      </c>
      <c r="E38" s="44" t="s">
        <v>242</v>
      </c>
    </row>
    <row r="39" spans="2:5" x14ac:dyDescent="0.45">
      <c r="B39" s="34" t="s">
        <v>97</v>
      </c>
      <c r="C39" s="34">
        <v>5</v>
      </c>
      <c r="D39" s="34">
        <v>0.05</v>
      </c>
      <c r="E39" s="34" t="s">
        <v>243</v>
      </c>
    </row>
    <row r="40" spans="2:5" x14ac:dyDescent="0.45">
      <c r="B40" s="34" t="s">
        <v>99</v>
      </c>
      <c r="C40" s="34">
        <v>4</v>
      </c>
      <c r="D40" s="34">
        <v>0.05</v>
      </c>
      <c r="E40" s="34" t="s">
        <v>244</v>
      </c>
    </row>
    <row r="41" spans="2:5" x14ac:dyDescent="0.45">
      <c r="B41" s="34" t="s">
        <v>101</v>
      </c>
      <c r="C41" s="34">
        <v>3</v>
      </c>
      <c r="D41" s="34">
        <v>0.05</v>
      </c>
      <c r="E41" s="34" t="s">
        <v>245</v>
      </c>
    </row>
    <row r="42" spans="2:5" x14ac:dyDescent="0.45">
      <c r="B42" s="34" t="s">
        <v>103</v>
      </c>
      <c r="C42" s="34">
        <v>2</v>
      </c>
      <c r="D42" s="34">
        <v>0.05</v>
      </c>
      <c r="E42" s="34" t="s">
        <v>246</v>
      </c>
    </row>
    <row r="43" spans="2:5" x14ac:dyDescent="0.45">
      <c r="B43" s="34" t="s">
        <v>105</v>
      </c>
      <c r="C43" s="34">
        <v>1</v>
      </c>
      <c r="D43" s="34">
        <v>0.05</v>
      </c>
      <c r="E43" s="34" t="s">
        <v>247</v>
      </c>
    </row>
    <row r="44" spans="2:5" x14ac:dyDescent="0.45">
      <c r="B44" s="34" t="s">
        <v>88</v>
      </c>
      <c r="C44" s="34">
        <v>0</v>
      </c>
      <c r="D44" s="34">
        <v>0.05</v>
      </c>
      <c r="E44" s="34" t="s">
        <v>248</v>
      </c>
    </row>
    <row r="47" spans="2:5" x14ac:dyDescent="0.45">
      <c r="B47" s="44" t="s">
        <v>249</v>
      </c>
      <c r="C47" s="44" t="s">
        <v>234</v>
      </c>
    </row>
    <row r="48" spans="2:5" x14ac:dyDescent="0.45">
      <c r="B48" t="s">
        <v>76</v>
      </c>
      <c r="C48" s="45">
        <v>0.05</v>
      </c>
    </row>
    <row r="49" spans="2:3" x14ac:dyDescent="0.45">
      <c r="B49" t="s">
        <v>77</v>
      </c>
      <c r="C49" s="45">
        <v>0.05</v>
      </c>
    </row>
    <row r="50" spans="2:3" x14ac:dyDescent="0.45">
      <c r="B50" t="s">
        <v>73</v>
      </c>
      <c r="C50" s="45">
        <v>0.05</v>
      </c>
    </row>
    <row r="51" spans="2:3" x14ac:dyDescent="0.45">
      <c r="B51" t="s">
        <v>71</v>
      </c>
      <c r="C51" s="45">
        <v>0.1</v>
      </c>
    </row>
    <row r="52" spans="2:3" ht="14.55" x14ac:dyDescent="0.35">
      <c r="B52" t="s">
        <v>250</v>
      </c>
      <c r="C52" s="45">
        <v>0.05</v>
      </c>
    </row>
    <row r="53" spans="2:3" ht="14.55" x14ac:dyDescent="0.35">
      <c r="B53" t="s">
        <v>251</v>
      </c>
      <c r="C53" s="45">
        <v>0.05</v>
      </c>
    </row>
    <row r="54" spans="2:3" ht="14.55" x14ac:dyDescent="0.35">
      <c r="B54" t="s">
        <v>252</v>
      </c>
      <c r="C54" s="45">
        <v>0.05</v>
      </c>
    </row>
    <row r="55" spans="2:3" ht="14.55" x14ac:dyDescent="0.35">
      <c r="B55" t="s">
        <v>253</v>
      </c>
      <c r="C55" s="45">
        <v>0.05</v>
      </c>
    </row>
    <row r="56" spans="2:3" ht="14.55" x14ac:dyDescent="0.35">
      <c r="B56" t="s">
        <v>254</v>
      </c>
      <c r="C56" s="45">
        <v>0.1</v>
      </c>
    </row>
    <row r="57" spans="2:3" ht="14.55" x14ac:dyDescent="0.35">
      <c r="B57" t="s">
        <v>255</v>
      </c>
      <c r="C57" s="45">
        <v>0.1</v>
      </c>
    </row>
    <row r="58" spans="2:3" ht="14.55" x14ac:dyDescent="0.35">
      <c r="B58" t="s">
        <v>166</v>
      </c>
      <c r="C58" s="45">
        <v>0.1</v>
      </c>
    </row>
    <row r="59" spans="2:3" ht="14.55" x14ac:dyDescent="0.35">
      <c r="B59" t="s">
        <v>256</v>
      </c>
      <c r="C59" s="45">
        <v>0.05</v>
      </c>
    </row>
    <row r="60" spans="2:3" ht="14.55" x14ac:dyDescent="0.35">
      <c r="B60" t="s">
        <v>257</v>
      </c>
      <c r="C60" s="45">
        <v>0.05</v>
      </c>
    </row>
    <row r="61" spans="2:3" ht="14.55" x14ac:dyDescent="0.35">
      <c r="B61" t="s">
        <v>258</v>
      </c>
      <c r="C61" s="45">
        <v>0.05</v>
      </c>
    </row>
    <row r="62" spans="2:3" ht="14.55" x14ac:dyDescent="0.35">
      <c r="B62" t="s">
        <v>214</v>
      </c>
      <c r="C62" s="45">
        <v>0.1</v>
      </c>
    </row>
    <row r="63" spans="2:3" ht="14.55" x14ac:dyDescent="0.35">
      <c r="C63" s="46">
        <f>SUM(C48:C62)</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4827-C40E-4F5B-B2EC-6B9F554027C3}">
  <dimension ref="B2:DD76"/>
  <sheetViews>
    <sheetView showGridLines="0" tabSelected="1" zoomScale="105" zoomScaleNormal="75" workbookViewId="0">
      <pane xSplit="6" ySplit="4" topLeftCell="AH68" activePane="bottomRight" state="frozen"/>
      <selection pane="topRight" activeCell="G1" sqref="G1"/>
      <selection pane="bottomLeft" activeCell="A5" sqref="A5"/>
      <selection pane="bottomRight" activeCell="AU72" sqref="AU72"/>
    </sheetView>
  </sheetViews>
  <sheetFormatPr defaultRowHeight="14.25" x14ac:dyDescent="0.45"/>
  <cols>
    <col min="1" max="1" width="2.06640625" customWidth="1"/>
    <col min="2" max="2" width="0.59765625" customWidth="1"/>
    <col min="3" max="3" width="6.33203125" style="7" customWidth="1"/>
    <col min="4" max="4" width="0.59765625" customWidth="1"/>
    <col min="5" max="5" width="14.33203125" customWidth="1"/>
    <col min="6" max="6" width="0.59765625" customWidth="1"/>
    <col min="7" max="7" width="19.33203125" bestFit="1" customWidth="1"/>
    <col min="8" max="8" width="0.59765625" customWidth="1"/>
    <col min="9" max="9" width="11.59765625" customWidth="1"/>
    <col min="10" max="10" width="0.59765625" customWidth="1"/>
    <col min="11" max="11" width="11.19921875" bestFit="1" customWidth="1"/>
    <col min="12" max="12" width="0.59765625" customWidth="1"/>
    <col min="13" max="13" width="22.796875" customWidth="1"/>
    <col min="14" max="14" width="0.59765625" customWidth="1"/>
    <col min="15" max="15" width="14.46484375" bestFit="1" customWidth="1"/>
    <col min="16" max="16" width="0.59765625" customWidth="1"/>
    <col min="17" max="17" width="12.46484375" bestFit="1" customWidth="1"/>
    <col min="18" max="18" width="0.59765625" customWidth="1"/>
    <col min="19" max="19" width="13" bestFit="1" customWidth="1"/>
    <col min="20" max="20" width="0.59765625" customWidth="1"/>
    <col min="21" max="21" width="18.06640625" customWidth="1"/>
    <col min="22" max="22" width="0.59765625" customWidth="1"/>
    <col min="23" max="23" width="13.9296875" bestFit="1" customWidth="1"/>
    <col min="24" max="24" width="0.59765625" customWidth="1"/>
    <col min="26" max="26" width="0.59765625" customWidth="1"/>
    <col min="28" max="28" width="0.59765625" customWidth="1"/>
    <col min="30" max="30" width="0.59765625" customWidth="1"/>
    <col min="31" max="31" width="11.53125" customWidth="1"/>
    <col min="32" max="32" width="0.59765625" customWidth="1"/>
    <col min="33" max="33" width="12.796875" customWidth="1"/>
    <col min="34" max="34" width="0.59765625" customWidth="1"/>
    <col min="35" max="35" width="16.46484375" customWidth="1"/>
    <col min="36" max="36" width="0.59765625" customWidth="1"/>
    <col min="37" max="37" width="16.46484375" bestFit="1" customWidth="1"/>
    <col min="38" max="38" width="0.59765625" customWidth="1"/>
    <col min="39" max="39" width="13.59765625" customWidth="1"/>
    <col min="40" max="40" width="0.59765625" customWidth="1"/>
    <col min="41" max="41" width="13.59765625" customWidth="1"/>
    <col min="42" max="42" width="0.59765625" customWidth="1"/>
    <col min="43" max="43" width="13.59765625" customWidth="1"/>
    <col min="44" max="44" width="0.59765625" customWidth="1"/>
    <col min="45" max="45" width="13.59765625" customWidth="1"/>
    <col min="46" max="46" width="0.59765625" customWidth="1"/>
    <col min="47" max="47" width="13.59765625" customWidth="1"/>
    <col min="48" max="48" width="0.59765625" customWidth="1"/>
    <col min="49" max="49" width="12.796875" customWidth="1"/>
    <col min="50" max="50" width="0.59765625" customWidth="1"/>
    <col min="52" max="52" width="0.59765625" customWidth="1"/>
    <col min="53" max="53" width="5.9296875" bestFit="1" customWidth="1"/>
    <col min="54" max="54" width="0.59765625" customWidth="1"/>
    <col min="55" max="55" width="4.796875" bestFit="1" customWidth="1"/>
    <col min="56" max="56" width="0.59765625" customWidth="1"/>
    <col min="57" max="57" width="16.46484375" customWidth="1"/>
    <col min="58" max="58" width="0.59765625" customWidth="1"/>
    <col min="59" max="59" width="16.53125" customWidth="1"/>
    <col min="60" max="60" width="9.796875" bestFit="1" customWidth="1"/>
    <col min="61" max="61" width="13.9296875" customWidth="1"/>
    <col min="64" max="64" width="0.59765625" customWidth="1"/>
    <col min="65" max="65" width="11.59765625" customWidth="1"/>
    <col min="66" max="66" width="0.59765625" customWidth="1"/>
    <col min="67" max="67" width="11.19921875" bestFit="1" customWidth="1"/>
    <col min="68" max="68" width="0.59765625" customWidth="1"/>
    <col min="69" max="69" width="22.796875" customWidth="1"/>
    <col min="70" max="70" width="0.59765625" customWidth="1"/>
    <col min="71" max="71" width="14.46484375" bestFit="1" customWidth="1"/>
    <col min="72" max="72" width="0.59765625" customWidth="1"/>
    <col min="73" max="73" width="12.46484375" bestFit="1" customWidth="1"/>
    <col min="74" max="74" width="0.59765625" customWidth="1"/>
    <col min="75" max="75" width="13" bestFit="1" customWidth="1"/>
    <col min="76" max="76" width="0.59765625" customWidth="1"/>
    <col min="77" max="77" width="10.19921875" bestFit="1" customWidth="1"/>
    <col min="78" max="78" width="0.59765625" customWidth="1"/>
    <col min="79" max="79" width="13.9296875" bestFit="1" customWidth="1"/>
    <col min="80" max="80" width="0.59765625" customWidth="1"/>
    <col min="82" max="82" width="0.59765625" customWidth="1"/>
    <col min="84" max="84" width="0.59765625" customWidth="1"/>
    <col min="86" max="86" width="0.59765625" customWidth="1"/>
    <col min="87" max="87" width="11.53125" customWidth="1"/>
    <col min="88" max="88" width="0.59765625" customWidth="1"/>
    <col min="89" max="89" width="12.796875" customWidth="1"/>
    <col min="90" max="90" width="0.59765625" customWidth="1"/>
    <col min="91" max="91" width="16.46484375" customWidth="1"/>
    <col min="92" max="92" width="0.59765625" customWidth="1"/>
    <col min="93" max="93" width="16.46484375" bestFit="1" customWidth="1"/>
    <col min="94" max="94" width="0.59765625" customWidth="1"/>
    <col min="95" max="95" width="13.59765625" customWidth="1"/>
    <col min="96" max="96" width="0.59765625" customWidth="1"/>
    <col min="97" max="97" width="13.59765625" customWidth="1"/>
    <col min="98" max="98" width="0.59765625" customWidth="1"/>
    <col min="99" max="99" width="13.59765625" customWidth="1"/>
    <col min="100" max="100" width="0.59765625" customWidth="1"/>
    <col min="101" max="101" width="13.59765625" customWidth="1"/>
    <col min="102" max="102" width="0.59765625" customWidth="1"/>
    <col min="103" max="103" width="13.59765625" customWidth="1"/>
    <col min="104" max="104" width="0.59765625" customWidth="1"/>
    <col min="105" max="105" width="12.796875" customWidth="1"/>
    <col min="106" max="106" width="0.59765625" customWidth="1"/>
    <col min="108" max="108" width="0.59765625" customWidth="1"/>
  </cols>
  <sheetData>
    <row r="2" spans="2:108" x14ac:dyDescent="0.45">
      <c r="I2" s="32" t="s">
        <v>325</v>
      </c>
      <c r="J2" s="32"/>
      <c r="K2" s="32"/>
      <c r="L2" s="32"/>
      <c r="M2" s="32"/>
      <c r="N2" s="32"/>
      <c r="O2" s="32"/>
      <c r="P2" s="32"/>
      <c r="Q2" s="32"/>
      <c r="R2" s="32"/>
      <c r="S2" s="32"/>
      <c r="T2" s="32"/>
      <c r="U2" s="32"/>
      <c r="V2" s="42"/>
      <c r="W2" s="32" t="s">
        <v>282</v>
      </c>
      <c r="X2" s="32"/>
      <c r="Y2" s="32"/>
      <c r="Z2" s="32"/>
      <c r="AA2" s="32"/>
      <c r="AB2" s="32"/>
      <c r="AC2" s="32"/>
      <c r="AD2" s="32"/>
      <c r="AE2" s="32"/>
      <c r="AF2" s="32"/>
      <c r="AG2" s="33"/>
      <c r="AH2" s="32"/>
      <c r="AI2" s="33"/>
      <c r="AJ2" s="42"/>
      <c r="AK2" s="32" t="s">
        <v>80</v>
      </c>
      <c r="AL2" s="32"/>
      <c r="AM2" s="32"/>
      <c r="AN2" s="32"/>
      <c r="AO2" s="32"/>
      <c r="AP2" s="32"/>
      <c r="AQ2" s="32"/>
      <c r="AR2" s="32"/>
      <c r="AS2" s="32"/>
      <c r="AT2" s="32"/>
      <c r="AU2" s="32"/>
      <c r="BL2" s="32"/>
      <c r="BM2" s="32" t="s">
        <v>325</v>
      </c>
      <c r="BN2" s="32"/>
      <c r="BO2" s="32"/>
      <c r="BP2" s="32"/>
      <c r="BQ2" s="32"/>
      <c r="BR2" s="32"/>
      <c r="BS2" s="32"/>
      <c r="BT2" s="32"/>
      <c r="BU2" s="32"/>
      <c r="BV2" s="32"/>
      <c r="BW2" s="32"/>
      <c r="BX2" s="32"/>
      <c r="BY2" s="32"/>
      <c r="BZ2" s="42"/>
      <c r="CA2" s="32" t="s">
        <v>282</v>
      </c>
      <c r="CB2" s="32"/>
      <c r="CC2" s="32"/>
      <c r="CD2" s="32"/>
      <c r="CE2" s="32"/>
      <c r="CF2" s="32"/>
      <c r="CG2" s="32"/>
      <c r="CH2" s="32"/>
      <c r="CI2" s="32"/>
      <c r="CJ2" s="32"/>
      <c r="CK2" s="33"/>
      <c r="CL2" s="32"/>
      <c r="CM2" s="33"/>
      <c r="CN2" s="42"/>
      <c r="CO2" s="32" t="s">
        <v>80</v>
      </c>
      <c r="CP2" s="32"/>
      <c r="CQ2" s="32"/>
      <c r="CR2" s="32"/>
      <c r="CS2" s="32"/>
      <c r="CT2" s="32"/>
      <c r="CU2" s="32"/>
      <c r="CV2" s="32"/>
      <c r="CW2" s="32"/>
      <c r="CX2" s="32"/>
      <c r="CY2" s="32"/>
    </row>
    <row r="3" spans="2:108" ht="2.75" customHeight="1" x14ac:dyDescent="0.45">
      <c r="B3" s="29"/>
      <c r="C3" s="31"/>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row>
    <row r="4" spans="2:108" s="17" customFormat="1" ht="42.75" x14ac:dyDescent="0.45">
      <c r="B4" s="30"/>
      <c r="C4" s="35" t="s">
        <v>183</v>
      </c>
      <c r="D4" s="38"/>
      <c r="E4" s="35" t="s">
        <v>184</v>
      </c>
      <c r="F4" s="38"/>
      <c r="G4" s="35" t="s">
        <v>75</v>
      </c>
      <c r="H4" s="38"/>
      <c r="I4" s="36" t="s">
        <v>68</v>
      </c>
      <c r="J4" s="38"/>
      <c r="K4" s="36" t="s">
        <v>332</v>
      </c>
      <c r="L4" s="38"/>
      <c r="M4" s="37" t="s">
        <v>77</v>
      </c>
      <c r="N4" s="37"/>
      <c r="O4" s="37"/>
      <c r="P4" s="38"/>
      <c r="Q4" s="36" t="s">
        <v>334</v>
      </c>
      <c r="R4" s="38"/>
      <c r="S4" s="36" t="s">
        <v>333</v>
      </c>
      <c r="T4" s="38"/>
      <c r="U4" s="36" t="s">
        <v>335</v>
      </c>
      <c r="V4" s="38"/>
      <c r="W4" s="36" t="s">
        <v>306</v>
      </c>
      <c r="X4" s="38"/>
      <c r="Y4" s="37" t="s">
        <v>305</v>
      </c>
      <c r="Z4" s="37"/>
      <c r="AA4" s="37"/>
      <c r="AB4" s="37"/>
      <c r="AC4" s="37"/>
      <c r="AD4" s="38"/>
      <c r="AE4" s="36" t="s">
        <v>71</v>
      </c>
      <c r="AF4" s="38"/>
      <c r="AG4" s="36" t="s">
        <v>318</v>
      </c>
      <c r="AH4" s="38"/>
      <c r="AI4" s="36" t="s">
        <v>350</v>
      </c>
      <c r="AJ4" s="38"/>
      <c r="AK4" s="36" t="s">
        <v>72</v>
      </c>
      <c r="AL4" s="38"/>
      <c r="AM4" s="36" t="s">
        <v>82</v>
      </c>
      <c r="AN4" s="38"/>
      <c r="AO4" s="36" t="s">
        <v>139</v>
      </c>
      <c r="AP4" s="38"/>
      <c r="AQ4" s="36" t="s">
        <v>181</v>
      </c>
      <c r="AR4" s="38"/>
      <c r="AS4" s="36" t="s">
        <v>173</v>
      </c>
      <c r="AT4" s="38"/>
      <c r="AU4" s="36" t="s">
        <v>179</v>
      </c>
      <c r="AV4" s="38"/>
      <c r="AW4" s="36" t="s">
        <v>166</v>
      </c>
      <c r="AX4" s="38"/>
      <c r="AY4" s="36" t="s">
        <v>336</v>
      </c>
      <c r="AZ4" s="30"/>
      <c r="BA4" s="36" t="s">
        <v>351</v>
      </c>
      <c r="BB4" s="30"/>
      <c r="BC4" s="37" t="s">
        <v>89</v>
      </c>
      <c r="BD4" s="37"/>
      <c r="BE4" s="37"/>
      <c r="BF4" s="30"/>
      <c r="BL4" s="38"/>
      <c r="BM4" s="36" t="s">
        <v>68</v>
      </c>
      <c r="BN4" s="38"/>
      <c r="BO4" s="36" t="s">
        <v>332</v>
      </c>
      <c r="BP4" s="38"/>
      <c r="BQ4" s="37" t="s">
        <v>77</v>
      </c>
      <c r="BR4" s="37"/>
      <c r="BS4" s="37"/>
      <c r="BT4" s="38"/>
      <c r="BU4" s="36" t="s">
        <v>334</v>
      </c>
      <c r="BV4" s="38"/>
      <c r="BW4" s="36" t="s">
        <v>333</v>
      </c>
      <c r="BX4" s="38"/>
      <c r="BY4" s="36" t="s">
        <v>335</v>
      </c>
      <c r="BZ4" s="38"/>
      <c r="CA4" s="36" t="s">
        <v>306</v>
      </c>
      <c r="CB4" s="38"/>
      <c r="CC4" s="37" t="s">
        <v>305</v>
      </c>
      <c r="CD4" s="37"/>
      <c r="CE4" s="37"/>
      <c r="CF4" s="37"/>
      <c r="CG4" s="37"/>
      <c r="CH4" s="38"/>
      <c r="CI4" s="36" t="s">
        <v>71</v>
      </c>
      <c r="CJ4" s="38"/>
      <c r="CK4" s="36" t="s">
        <v>318</v>
      </c>
      <c r="CL4" s="38"/>
      <c r="CM4" s="36" t="s">
        <v>74</v>
      </c>
      <c r="CN4" s="38"/>
      <c r="CO4" s="36" t="s">
        <v>72</v>
      </c>
      <c r="CP4" s="38"/>
      <c r="CQ4" s="36" t="s">
        <v>82</v>
      </c>
      <c r="CR4" s="38"/>
      <c r="CS4" s="36" t="s">
        <v>139</v>
      </c>
      <c r="CT4" s="38"/>
      <c r="CU4" s="36" t="s">
        <v>181</v>
      </c>
      <c r="CV4" s="38"/>
      <c r="CW4" s="36" t="s">
        <v>339</v>
      </c>
      <c r="CX4" s="38"/>
      <c r="CY4" s="36" t="s">
        <v>179</v>
      </c>
      <c r="CZ4" s="38"/>
      <c r="DA4" s="36" t="s">
        <v>166</v>
      </c>
      <c r="DB4" s="38"/>
      <c r="DC4" s="36" t="s">
        <v>336</v>
      </c>
      <c r="DD4" s="38"/>
    </row>
    <row r="5" spans="2:108" ht="2.75" customHeight="1" x14ac:dyDescent="0.45">
      <c r="B5" s="29"/>
      <c r="D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row>
    <row r="6" spans="2:108" s="39" customFormat="1" x14ac:dyDescent="0.45">
      <c r="B6" s="38"/>
      <c r="C6" s="40"/>
      <c r="D6" s="38"/>
      <c r="F6" s="38"/>
      <c r="H6" s="38"/>
      <c r="J6" s="38"/>
      <c r="L6" s="38"/>
      <c r="M6" s="40" t="s">
        <v>119</v>
      </c>
      <c r="N6" s="38"/>
      <c r="P6" s="38"/>
      <c r="R6" s="38"/>
      <c r="T6" s="38"/>
      <c r="V6" s="38"/>
      <c r="X6" s="38"/>
      <c r="Y6" s="40" t="s">
        <v>131</v>
      </c>
      <c r="Z6" s="38"/>
      <c r="AA6" s="40" t="s">
        <v>180</v>
      </c>
      <c r="AB6" s="38"/>
      <c r="AC6" s="40" t="s">
        <v>132</v>
      </c>
      <c r="AD6" s="38"/>
      <c r="AE6" s="40"/>
      <c r="AF6" s="38"/>
      <c r="AH6" s="38"/>
      <c r="AJ6" s="38"/>
      <c r="AL6" s="38"/>
      <c r="AN6" s="38"/>
      <c r="AP6" s="38"/>
      <c r="AR6" s="38"/>
      <c r="AT6" s="38"/>
      <c r="AV6" s="38"/>
      <c r="AX6" s="38"/>
      <c r="AZ6" s="38"/>
      <c r="BB6" s="38"/>
      <c r="BD6" s="38"/>
      <c r="BF6" s="38"/>
      <c r="BL6" s="38"/>
      <c r="BM6" s="63">
        <f>VLOOKUP(BM4,'OSM Field'!$C$4:$E$26,3,0)</f>
        <v>0</v>
      </c>
      <c r="BN6" s="38"/>
      <c r="BO6" s="63">
        <f>VLOOKUP(BO4,'OSM Field'!$C$4:$E$26,3,0)</f>
        <v>0.05</v>
      </c>
      <c r="BP6" s="38"/>
      <c r="BQ6" s="40" t="s">
        <v>119</v>
      </c>
      <c r="BR6" s="38"/>
      <c r="BS6" s="63">
        <f>VLOOKUP(BQ4,'OSM Field'!$C$4:$E$26,3,0)</f>
        <v>0.05</v>
      </c>
      <c r="BT6" s="38"/>
      <c r="BU6" s="63">
        <f>VLOOKUP(BU4,'OSM Field'!$C$4:$E$26,3,0)</f>
        <v>7.0000000000000007E-2</v>
      </c>
      <c r="BV6" s="38"/>
      <c r="BW6" s="63">
        <f>VLOOKUP(BW4,'OSM Field'!$C$4:$E$26,3,0)</f>
        <v>0.05</v>
      </c>
      <c r="BX6" s="38"/>
      <c r="BY6" s="63">
        <f>VLOOKUP(BY4,'OSM Field'!$C$4:$E$26,3,0)</f>
        <v>7.0000000000000007E-2</v>
      </c>
      <c r="BZ6" s="38"/>
      <c r="CA6" s="63">
        <f>VLOOKUP(CA4,'OSM Field'!$C$4:$E$26,3,0)</f>
        <v>0</v>
      </c>
      <c r="CB6" s="38"/>
      <c r="CC6" s="63">
        <f>'OSM Field'!E13</f>
        <v>0.1</v>
      </c>
      <c r="CD6" s="38"/>
      <c r="CE6" s="63">
        <f>'OSM Field'!E14</f>
        <v>0.08</v>
      </c>
      <c r="CF6" s="38"/>
      <c r="CG6" s="63">
        <f>'OSM Field'!E15</f>
        <v>0.1</v>
      </c>
      <c r="CH6" s="38"/>
      <c r="CI6" s="63">
        <f>VLOOKUP(CI4,'OSM Field'!$C$4:$E$26,3,0)</f>
        <v>0.1</v>
      </c>
      <c r="CJ6" s="38"/>
      <c r="CK6" s="63">
        <f>VLOOKUP(CK4,'OSM Field'!$C$4:$E$26,3,0)</f>
        <v>0.04</v>
      </c>
      <c r="CL6" s="38"/>
      <c r="CM6" s="63">
        <f>VLOOKUP(CM4,'OSM Field'!$C$4:$E$26,3,0)</f>
        <v>0</v>
      </c>
      <c r="CN6" s="38"/>
      <c r="CO6" s="63">
        <f>VLOOKUP(CO4,'OSM Field'!$C$4:$E$26,3,0)</f>
        <v>7.0000000000000007E-2</v>
      </c>
      <c r="CP6" s="38"/>
      <c r="CQ6" s="63">
        <f>VLOOKUP(CQ4,'OSM Field'!$C$4:$E$26,3,0)</f>
        <v>0.05</v>
      </c>
      <c r="CR6" s="38"/>
      <c r="CS6" s="63">
        <f>VLOOKUP(CS4,'OSM Field'!$C$4:$E$26,3,0)</f>
        <v>0.05</v>
      </c>
      <c r="CT6" s="38"/>
      <c r="CU6" s="63">
        <f>VLOOKUP(CU4,'OSM Field'!$C$4:$E$26,3,0)</f>
        <v>0.05</v>
      </c>
      <c r="CV6" s="38"/>
      <c r="CW6" s="63">
        <f>VLOOKUP(CW4,'OSM Field'!$C$4:$E$26,3,0)</f>
        <v>7.0000000000000007E-2</v>
      </c>
      <c r="CX6" s="38"/>
      <c r="CY6" s="63">
        <f>VLOOKUP(CY4,'OSM Field'!$C$4:$E$26,3,0)</f>
        <v>0.05</v>
      </c>
      <c r="CZ6" s="38"/>
      <c r="DA6" s="63">
        <f>VLOOKUP(DA4,'OSM Field'!$C$4:$E$26,3,0)</f>
        <v>0</v>
      </c>
      <c r="DB6" s="38"/>
      <c r="DC6" s="63">
        <f>VLOOKUP(DC4,'OSM Field'!$C$4:$E$26,3,0)</f>
        <v>0.05</v>
      </c>
      <c r="DD6" s="38"/>
    </row>
    <row r="7" spans="2:108" ht="2.75" customHeight="1" x14ac:dyDescent="0.45">
      <c r="B7" s="29"/>
      <c r="C7" s="31"/>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row>
    <row r="8" spans="2:108" s="7" customFormat="1" x14ac:dyDescent="0.45">
      <c r="B8" s="31"/>
      <c r="C8" s="7">
        <v>1</v>
      </c>
      <c r="D8" s="31"/>
      <c r="E8" s="18" t="s">
        <v>190</v>
      </c>
      <c r="F8" s="31"/>
      <c r="G8" s="28" t="s">
        <v>69</v>
      </c>
      <c r="H8" s="31"/>
      <c r="I8" t="s">
        <v>83</v>
      </c>
      <c r="J8" s="29"/>
      <c r="K8" t="s">
        <v>83</v>
      </c>
      <c r="L8" s="29"/>
      <c r="M8" s="25" t="s">
        <v>182</v>
      </c>
      <c r="N8" s="29"/>
      <c r="O8" t="s">
        <v>112</v>
      </c>
      <c r="P8" s="29"/>
      <c r="Q8" t="s">
        <v>294</v>
      </c>
      <c r="R8" s="29"/>
      <c r="S8" t="s">
        <v>124</v>
      </c>
      <c r="T8" s="29"/>
      <c r="U8" t="s">
        <v>314</v>
      </c>
      <c r="V8" s="29"/>
      <c r="W8" s="25">
        <v>100</v>
      </c>
      <c r="X8" s="31"/>
      <c r="Y8" s="25">
        <v>4</v>
      </c>
      <c r="Z8" s="31"/>
      <c r="AA8" s="26">
        <v>0.15</v>
      </c>
      <c r="AB8" s="31"/>
      <c r="AC8" s="27">
        <f>ROUND(Y8*(1+AA8)^5,0)</f>
        <v>8</v>
      </c>
      <c r="AD8" s="29"/>
      <c r="AE8" t="s">
        <v>83</v>
      </c>
      <c r="AF8" s="29"/>
      <c r="AG8" t="s">
        <v>86</v>
      </c>
      <c r="AH8" s="29"/>
      <c r="AI8" s="60">
        <v>0</v>
      </c>
      <c r="AJ8" s="29"/>
      <c r="AK8" t="s">
        <v>83</v>
      </c>
      <c r="AL8" s="29"/>
      <c r="AM8" t="s">
        <v>149</v>
      </c>
      <c r="AN8" s="29"/>
      <c r="AO8" t="s">
        <v>147</v>
      </c>
      <c r="AP8" s="29"/>
      <c r="AQ8" t="s">
        <v>147</v>
      </c>
      <c r="AR8" s="29"/>
      <c r="AS8" t="s">
        <v>148</v>
      </c>
      <c r="AT8" s="29"/>
      <c r="AU8" t="s">
        <v>148</v>
      </c>
      <c r="AV8" s="29"/>
      <c r="AW8" t="s">
        <v>86</v>
      </c>
      <c r="AX8" s="29"/>
      <c r="AY8" t="s">
        <v>84</v>
      </c>
      <c r="AZ8" s="31"/>
      <c r="BA8" s="27" t="str">
        <f>IF(COUNTA(AY8,AW8,AU8,AS8,AQ8,AO8,AM8,AK8,AI8,AG8,AE8,AC8,AA8,Y8,W8,U8,S8,Q8,O8,K8,I8)=21,"✓","✗")</f>
        <v>✓</v>
      </c>
      <c r="BB8" s="31"/>
      <c r="BC8" s="69">
        <f>IFERROR(SUM(BM8:DC8),"")</f>
        <v>3.1700000000000004</v>
      </c>
      <c r="BD8" s="31"/>
      <c r="BE8" s="27" t="str">
        <f>IFERROR(LOOKUP(BC8,'OSM - Rating and Score'!$G$103:$I$108,'OSM - Rating and Score'!$C$103:$C$108),"")</f>
        <v>Moderate</v>
      </c>
      <c r="BF8" s="31"/>
      <c r="BL8" s="29"/>
      <c r="BM8" s="67">
        <f>ROUND(VLOOKUP(I8,'OSM - Rating and Score'!$C$8:$D$13,2,0)*BM$6,2)</f>
        <v>0</v>
      </c>
      <c r="BN8" s="29"/>
      <c r="BO8" s="67">
        <f>ROUND(VLOOKUP(K8,'OSM - Rating and Score'!$C$8:$D$13,2,0)*BO$6,2)</f>
        <v>0.2</v>
      </c>
      <c r="BP8" s="29"/>
      <c r="BQ8" s="66"/>
      <c r="BR8" s="29"/>
      <c r="BS8" s="67">
        <f>ROUND(VLOOKUP(O8,'OSM - Rating and Score'!$C$17:$D$22,2,0)*BS$6,2)</f>
        <v>0.15</v>
      </c>
      <c r="BT8" s="29"/>
      <c r="BU8" s="67">
        <f>ROUND(VLOOKUP(Q8,'OSM - Rating and Score'!$C$56:$D$61,2,0)*BU$6,2)</f>
        <v>0.28000000000000003</v>
      </c>
      <c r="BV8" s="29"/>
      <c r="BW8" s="67">
        <f>ROUND(VLOOKUP(S8,'OSM - Rating and Score'!$C$26:$D$31,2,0)*BW$6,2)</f>
        <v>0.15</v>
      </c>
      <c r="BX8" s="29"/>
      <c r="BY8" s="67">
        <f>ROUND(VLOOKUP(U8,'OSM - Rating and Score'!$C$35:$D$40,2,0)*BY$6,2)</f>
        <v>0.28000000000000003</v>
      </c>
      <c r="BZ8" s="29"/>
      <c r="CA8" s="66"/>
      <c r="CB8" s="29"/>
      <c r="CC8" s="67">
        <f>ROUND(LOOKUP(Y8,'OSM - Rating and Score'!$G$85:$I$90,'OSM - Rating and Score'!$D$85:$D$90)*CC$6,2)</f>
        <v>0.2</v>
      </c>
      <c r="CD8" s="29"/>
      <c r="CE8" s="67">
        <f>ROUND(LOOKUP(AA8,'OSM - Rating and Score'!$G$113:$I$118,'OSM - Rating and Score'!$D$113:$D$118)*CE$6,2)</f>
        <v>0.08</v>
      </c>
      <c r="CF8" s="29"/>
      <c r="CG8" s="67">
        <f>ROUND(LOOKUP(AC8,'OSM - Rating and Score'!$G$94:$I$99,'OSM - Rating and Score'!$D$85:$D$90)*CG$6,2)</f>
        <v>0.1</v>
      </c>
      <c r="CH8" s="29"/>
      <c r="CI8" s="67">
        <f>ROUND(VLOOKUP(AE8,'OSM - Rating and Score'!$C$8:$D$13,2,0)*CI$6,2)</f>
        <v>0.4</v>
      </c>
      <c r="CJ8" s="29"/>
      <c r="CK8" s="67">
        <f>ROUND(VLOOKUP(AG8,'OSM - Rating and Score'!$C$8:$D$13,2,0)*CK$6,2)</f>
        <v>0.04</v>
      </c>
      <c r="CL8" s="29"/>
      <c r="CM8" s="67">
        <v>0</v>
      </c>
      <c r="CN8" s="29"/>
      <c r="CO8" s="67">
        <f>ROUND(VLOOKUP(AK8,'OSM - Rating and Score'!$C$8:$D$13,2,0)*CO$6,2)</f>
        <v>0.28000000000000003</v>
      </c>
      <c r="CP8" s="29"/>
      <c r="CQ8" s="67">
        <f>ROUND(VLOOKUP(AM8,'OSM - Rating and Score'!$C$47:$D$52,2,0)*CQ$6,2)</f>
        <v>0.1</v>
      </c>
      <c r="CR8" s="29"/>
      <c r="CS8" s="67">
        <f>ROUND(VLOOKUP(AO8,'OSM - Rating and Score'!$C$47:$D$52,2,0)*CS$6,2)</f>
        <v>0.2</v>
      </c>
      <c r="CT8" s="29"/>
      <c r="CU8" s="67">
        <f>ROUND(VLOOKUP(AQ8,'OSM - Rating and Score'!$C$47:$D$52,2,0)*CU$6,2)</f>
        <v>0.2</v>
      </c>
      <c r="CV8" s="29"/>
      <c r="CW8" s="67">
        <f>ROUND(VLOOKUP(AS8,'OSM - Rating and Score'!$C$47:$D$52,2,0)*CW$6,2)</f>
        <v>0.21</v>
      </c>
      <c r="CX8" s="29"/>
      <c r="CY8" s="67">
        <f>ROUND(VLOOKUP(AU8,'OSM - Rating and Score'!$C$65:$D$70,2,0)*CY$6,2)</f>
        <v>0.15</v>
      </c>
      <c r="CZ8" s="29"/>
      <c r="DA8" s="67">
        <f>ROUND(VLOOKUP(AW8,'OSM - Rating and Score'!$C$8:$D$13,2,0)*DA$6,2)</f>
        <v>0</v>
      </c>
      <c r="DB8" s="29"/>
      <c r="DC8" s="67">
        <f>ROUND(VLOOKUP(AY8,'OSM - Rating and Score'!$C$75:$D$80,2,0)*DC$6,2)</f>
        <v>0.15</v>
      </c>
      <c r="DD8" s="29"/>
    </row>
    <row r="9" spans="2:108" ht="2.75" customHeight="1" x14ac:dyDescent="0.45">
      <c r="B9" s="29"/>
      <c r="C9" s="31"/>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row>
    <row r="10" spans="2:108" x14ac:dyDescent="0.45">
      <c r="B10" s="29"/>
      <c r="C10" s="7">
        <v>2</v>
      </c>
      <c r="D10" s="29"/>
      <c r="E10" s="18" t="s">
        <v>188</v>
      </c>
      <c r="F10" s="29"/>
      <c r="G10" s="28" t="s">
        <v>70</v>
      </c>
      <c r="H10" s="29"/>
      <c r="I10" t="s">
        <v>83</v>
      </c>
      <c r="J10" s="29"/>
      <c r="K10" t="s">
        <v>83</v>
      </c>
      <c r="L10" s="29"/>
      <c r="M10" s="25"/>
      <c r="N10" s="29"/>
      <c r="O10" t="s">
        <v>110</v>
      </c>
      <c r="P10" s="29"/>
      <c r="Q10" t="s">
        <v>296</v>
      </c>
      <c r="R10" s="29"/>
      <c r="S10" t="s">
        <v>124</v>
      </c>
      <c r="T10" s="29"/>
      <c r="U10" t="s">
        <v>317</v>
      </c>
      <c r="V10" s="29"/>
      <c r="W10" s="25">
        <v>350</v>
      </c>
      <c r="X10" s="31"/>
      <c r="Y10" s="25">
        <v>5</v>
      </c>
      <c r="Z10" s="31"/>
      <c r="AA10" s="26">
        <v>0.4</v>
      </c>
      <c r="AB10" s="31"/>
      <c r="AC10" s="27">
        <f>ROUND(Y10*(1+AA10)^5,0)</f>
        <v>27</v>
      </c>
      <c r="AD10" s="29"/>
      <c r="AE10" t="s">
        <v>84</v>
      </c>
      <c r="AF10" s="29"/>
      <c r="AG10" t="s">
        <v>86</v>
      </c>
      <c r="AH10" s="29"/>
      <c r="AI10" s="60">
        <v>0</v>
      </c>
      <c r="AJ10" s="29"/>
      <c r="AK10" t="s">
        <v>83</v>
      </c>
      <c r="AL10" s="29"/>
      <c r="AM10" t="s">
        <v>147</v>
      </c>
      <c r="AN10" s="29"/>
      <c r="AO10" t="s">
        <v>147</v>
      </c>
      <c r="AP10" s="29"/>
      <c r="AQ10" t="s">
        <v>148</v>
      </c>
      <c r="AR10" s="29"/>
      <c r="AS10" t="s">
        <v>148</v>
      </c>
      <c r="AT10" s="29"/>
      <c r="AU10" t="s">
        <v>148</v>
      </c>
      <c r="AV10" s="29"/>
      <c r="AW10" t="s">
        <v>84</v>
      </c>
      <c r="AX10" s="29"/>
      <c r="AY10" t="s">
        <v>216</v>
      </c>
      <c r="AZ10" s="31"/>
      <c r="BA10" s="27" t="str">
        <f>IF(COUNTA(AY10,AW10,AU10,AS10,AQ10,AO10,AM10,AK10,AI10,AG10,AE10,AC10,AA10,Y10,W10,U10,S10,Q10,O10,K10,I10)=21,"✓","✗")</f>
        <v>✓</v>
      </c>
      <c r="BB10" s="31"/>
      <c r="BC10" s="69">
        <f>IFERROR(SUM(BM10:DC10),"")</f>
        <v>3.4800000000000004</v>
      </c>
      <c r="BD10" s="31"/>
      <c r="BE10" s="27" t="str">
        <f>IFERROR(LOOKUP(BC10,'OSM - Rating and Score'!$G$103:$I$108,'OSM - Rating and Score'!$C$103:$C$108),"")</f>
        <v>Moderate</v>
      </c>
      <c r="BF10" s="31"/>
      <c r="BG10" s="7"/>
      <c r="BH10" s="7"/>
      <c r="BI10" s="7"/>
      <c r="BJ10" s="7"/>
      <c r="BK10" s="7"/>
      <c r="BL10" s="29"/>
      <c r="BM10" s="67">
        <f>ROUND(VLOOKUP(I10,'OSM - Rating and Score'!$C$8:$D$13,2,0)*BM$6,2)</f>
        <v>0</v>
      </c>
      <c r="BN10" s="29"/>
      <c r="BO10" s="67">
        <f>ROUND(VLOOKUP(K10,'OSM - Rating and Score'!$C$8:$D$13,2,0)*BO$6,2)</f>
        <v>0.2</v>
      </c>
      <c r="BP10" s="29"/>
      <c r="BQ10" s="66"/>
      <c r="BR10" s="29"/>
      <c r="BS10" s="67">
        <f>ROUND(VLOOKUP(O10,'OSM - Rating and Score'!$C$17:$D$22,2,0)*BS$6,2)</f>
        <v>0.2</v>
      </c>
      <c r="BT10" s="29"/>
      <c r="BU10" s="67">
        <f>ROUND(VLOOKUP(Q10,'OSM - Rating and Score'!$C$56:$D$61,2,0)*BU$6,2)</f>
        <v>0.21</v>
      </c>
      <c r="BV10" s="29"/>
      <c r="BW10" s="67">
        <f>ROUND(VLOOKUP(S10,'OSM - Rating and Score'!$C$26:$D$31,2,0)*BW$6,2)</f>
        <v>0.15</v>
      </c>
      <c r="BX10" s="29"/>
      <c r="BY10" s="67">
        <f>ROUND(VLOOKUP(U10,'OSM - Rating and Score'!$C$35:$D$40,2,0)*BY$6,2)</f>
        <v>7.0000000000000007E-2</v>
      </c>
      <c r="BZ10" s="29"/>
      <c r="CA10" s="66"/>
      <c r="CB10" s="29"/>
      <c r="CC10" s="67">
        <f>ROUND(LOOKUP(Y10,'OSM - Rating and Score'!$G$85:$I$90,'OSM - Rating and Score'!$D$85:$D$90)*CC$6,2)</f>
        <v>0.3</v>
      </c>
      <c r="CD10" s="29"/>
      <c r="CE10" s="67">
        <f>ROUND(LOOKUP(AA10,'OSM - Rating and Score'!$G$113:$I$118,'OSM - Rating and Score'!$D$113:$D$118)*CE$6,2)</f>
        <v>0.32</v>
      </c>
      <c r="CF10" s="29"/>
      <c r="CG10" s="67">
        <f>ROUND(LOOKUP(AC10,'OSM - Rating and Score'!$G$94:$I$99,'OSM - Rating and Score'!$D$85:$D$90)*CG$6,2)</f>
        <v>0.3</v>
      </c>
      <c r="CH10" s="29"/>
      <c r="CI10" s="67">
        <f>ROUND(VLOOKUP(AE10,'OSM - Rating and Score'!$C$8:$D$13,2,0)*CI$6,2)</f>
        <v>0.3</v>
      </c>
      <c r="CJ10" s="29"/>
      <c r="CK10" s="67">
        <f>ROUND(VLOOKUP(AG10,'OSM - Rating and Score'!$C$8:$D$13,2,0)*CK$6,2)</f>
        <v>0.04</v>
      </c>
      <c r="CL10" s="29"/>
      <c r="CM10" s="67">
        <v>0</v>
      </c>
      <c r="CN10" s="29"/>
      <c r="CO10" s="67">
        <f>ROUND(VLOOKUP(AK10,'OSM - Rating and Score'!$C$8:$D$13,2,0)*CO$6,2)</f>
        <v>0.28000000000000003</v>
      </c>
      <c r="CP10" s="29"/>
      <c r="CQ10" s="67">
        <f>ROUND(VLOOKUP(AM10,'OSM - Rating and Score'!$C$47:$D$52,2,0)*CQ$6,2)</f>
        <v>0.2</v>
      </c>
      <c r="CR10" s="29"/>
      <c r="CS10" s="67">
        <f>ROUND(VLOOKUP(AO10,'OSM - Rating and Score'!$C$47:$D$52,2,0)*CS$6,2)</f>
        <v>0.2</v>
      </c>
      <c r="CT10" s="29"/>
      <c r="CU10" s="67">
        <f>ROUND(VLOOKUP(AQ10,'OSM - Rating and Score'!$C$47:$D$52,2,0)*CU$6,2)</f>
        <v>0.15</v>
      </c>
      <c r="CV10" s="29"/>
      <c r="CW10" s="67">
        <f>ROUND(VLOOKUP(AS10,'OSM - Rating and Score'!$C$47:$D$52,2,0)*CW$6,2)</f>
        <v>0.21</v>
      </c>
      <c r="CX10" s="29"/>
      <c r="CY10" s="67">
        <f>ROUND(VLOOKUP(AU10,'OSM - Rating and Score'!$C$65:$D$70,2,0)*CY$6,2)</f>
        <v>0.15</v>
      </c>
      <c r="CZ10" s="29"/>
      <c r="DA10" s="67">
        <f>ROUND(VLOOKUP(AW10,'OSM - Rating and Score'!$C$8:$D$13,2,0)*DA$6,2)</f>
        <v>0</v>
      </c>
      <c r="DB10" s="29"/>
      <c r="DC10" s="67">
        <f>ROUND(VLOOKUP(AY10,'OSM - Rating and Score'!$C$75:$D$80,2,0)*DC$6,2)</f>
        <v>0.2</v>
      </c>
      <c r="DD10" s="29"/>
    </row>
    <row r="11" spans="2:108" ht="2.75" customHeight="1" x14ac:dyDescent="0.45">
      <c r="B11" s="29"/>
      <c r="C11" s="31"/>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row>
    <row r="12" spans="2:108" ht="42.75" x14ac:dyDescent="0.45">
      <c r="B12" s="29"/>
      <c r="C12" s="7">
        <v>3</v>
      </c>
      <c r="D12" s="29"/>
      <c r="E12" t="s">
        <v>352</v>
      </c>
      <c r="F12" s="29"/>
      <c r="G12" t="s">
        <v>353</v>
      </c>
      <c r="H12" s="29"/>
      <c r="I12" t="s">
        <v>84</v>
      </c>
      <c r="J12" s="29"/>
      <c r="K12" t="s">
        <v>85</v>
      </c>
      <c r="L12" s="29"/>
      <c r="M12" s="25"/>
      <c r="N12" s="29"/>
      <c r="O12" t="s">
        <v>110</v>
      </c>
      <c r="P12" s="29"/>
      <c r="Q12" t="s">
        <v>298</v>
      </c>
      <c r="R12" s="29"/>
      <c r="S12" t="s">
        <v>126</v>
      </c>
      <c r="T12" s="29"/>
      <c r="U12" t="s">
        <v>316</v>
      </c>
      <c r="V12" s="29"/>
      <c r="W12" s="25">
        <v>60</v>
      </c>
      <c r="X12" s="31"/>
      <c r="Y12" s="25">
        <v>2</v>
      </c>
      <c r="Z12" s="31"/>
      <c r="AA12" s="26">
        <v>0.15</v>
      </c>
      <c r="AB12" s="31"/>
      <c r="AC12" s="27">
        <f>ROUND(Y12*(1+AA12)^5,0)</f>
        <v>4</v>
      </c>
      <c r="AD12" s="29"/>
      <c r="AE12" t="s">
        <v>83</v>
      </c>
      <c r="AF12" s="29"/>
      <c r="AG12" t="s">
        <v>86</v>
      </c>
      <c r="AH12" s="29"/>
      <c r="AI12" s="60">
        <v>0</v>
      </c>
      <c r="AJ12" s="29"/>
      <c r="AK12" t="s">
        <v>84</v>
      </c>
      <c r="AL12" s="29"/>
      <c r="AM12" t="s">
        <v>148</v>
      </c>
      <c r="AN12" s="29"/>
      <c r="AO12" t="s">
        <v>148</v>
      </c>
      <c r="AP12" s="29"/>
      <c r="AQ12" t="s">
        <v>147</v>
      </c>
      <c r="AR12" s="29"/>
      <c r="AS12" t="s">
        <v>148</v>
      </c>
      <c r="AT12" s="29"/>
      <c r="AU12" t="s">
        <v>288</v>
      </c>
      <c r="AV12" s="29"/>
      <c r="AW12" t="s">
        <v>88</v>
      </c>
      <c r="AX12" s="29"/>
      <c r="AY12" t="s">
        <v>216</v>
      </c>
      <c r="AZ12" s="31"/>
      <c r="BA12" s="27" t="str">
        <f>IF(COUNTA(AY12,AW12,AU12,AS12,AQ12,AO12,AM12,AK12,AI12,AG12,AE12,AC12,AA12,Y12,W12,U12,S12,Q12,O12,K12,I12)=21,"✓","✗")</f>
        <v>✓</v>
      </c>
      <c r="BB12" s="31"/>
      <c r="BC12" s="69">
        <f>IFERROR(SUM(BM12:DC12),"")</f>
        <v>2.72</v>
      </c>
      <c r="BD12" s="31"/>
      <c r="BE12" s="27" t="str">
        <f>IFERROR(LOOKUP(BC12,'OSM - Rating and Score'!$G$103:$I$108,'OSM - Rating and Score'!$C$103:$C$108),"")</f>
        <v>Moderate</v>
      </c>
      <c r="BF12" s="31"/>
      <c r="BG12" s="70" t="s">
        <v>356</v>
      </c>
      <c r="BH12" s="70" t="s">
        <v>357</v>
      </c>
      <c r="BI12" s="70" t="s">
        <v>384</v>
      </c>
      <c r="BJ12" s="7"/>
      <c r="BK12" s="7"/>
      <c r="BL12" s="29"/>
      <c r="BM12" s="67">
        <f>ROUND(VLOOKUP(I12,'OSM - Rating and Score'!$C$8:$D$13,2,0)*BM$6,2)</f>
        <v>0</v>
      </c>
      <c r="BN12" s="29"/>
      <c r="BO12" s="67">
        <f>ROUND(VLOOKUP(K12,'OSM - Rating and Score'!$C$8:$D$13,2,0)*BO$6,2)</f>
        <v>0.1</v>
      </c>
      <c r="BP12" s="29"/>
      <c r="BQ12" s="66"/>
      <c r="BR12" s="29"/>
      <c r="BS12" s="67">
        <f>ROUND(VLOOKUP(O12,'OSM - Rating and Score'!$C$17:$D$22,2,0)*BS$6,2)</f>
        <v>0.2</v>
      </c>
      <c r="BT12" s="29"/>
      <c r="BU12" s="67">
        <f>ROUND(VLOOKUP(Q12,'OSM - Rating and Score'!$C$56:$D$61,2,0)*BU$6,2)</f>
        <v>0.14000000000000001</v>
      </c>
      <c r="BV12" s="29"/>
      <c r="BW12" s="67">
        <f>ROUND(VLOOKUP(S12,'OSM - Rating and Score'!$C$26:$D$31,2,0)*BW$6,2)</f>
        <v>0.1</v>
      </c>
      <c r="BX12" s="29"/>
      <c r="BY12" s="67">
        <f>ROUND(VLOOKUP(U12,'OSM - Rating and Score'!$C$35:$D$40,2,0)*BY$6,2)</f>
        <v>0.14000000000000001</v>
      </c>
      <c r="BZ12" s="29"/>
      <c r="CA12" s="66"/>
      <c r="CB12" s="29"/>
      <c r="CC12" s="67">
        <f>ROUND(LOOKUP(Y12,'OSM - Rating and Score'!$G$85:$I$90,'OSM - Rating and Score'!$D$85:$D$90)*CC$6,2)</f>
        <v>0.2</v>
      </c>
      <c r="CD12" s="29"/>
      <c r="CE12" s="67">
        <f>ROUND(LOOKUP(AA12,'OSM - Rating and Score'!$G$113:$I$118,'OSM - Rating and Score'!$D$113:$D$118)*CE$6,2)</f>
        <v>0.08</v>
      </c>
      <c r="CF12" s="29"/>
      <c r="CG12" s="67">
        <f>ROUND(LOOKUP(AC12,'OSM - Rating and Score'!$G$94:$I$99,'OSM - Rating and Score'!$D$85:$D$90)*CG$6,2)</f>
        <v>0</v>
      </c>
      <c r="CH12" s="29"/>
      <c r="CI12" s="67">
        <f>ROUND(VLOOKUP(AE12,'OSM - Rating and Score'!$C$8:$D$13,2,0)*CI$6,2)</f>
        <v>0.4</v>
      </c>
      <c r="CJ12" s="29"/>
      <c r="CK12" s="67">
        <f>ROUND(VLOOKUP(AG12,'OSM - Rating and Score'!$C$8:$D$13,2,0)*CK$6,2)</f>
        <v>0.04</v>
      </c>
      <c r="CL12" s="29"/>
      <c r="CM12" s="67">
        <v>0</v>
      </c>
      <c r="CN12" s="29"/>
      <c r="CO12" s="67">
        <f>ROUND(VLOOKUP(AK12,'OSM - Rating and Score'!$C$8:$D$13,2,0)*CO$6,2)</f>
        <v>0.21</v>
      </c>
      <c r="CP12" s="29"/>
      <c r="CQ12" s="67">
        <f>ROUND(VLOOKUP(AM12,'OSM - Rating and Score'!$C$47:$D$52,2,0)*CQ$6,2)</f>
        <v>0.15</v>
      </c>
      <c r="CR12" s="29"/>
      <c r="CS12" s="67">
        <f>ROUND(VLOOKUP(AO12,'OSM - Rating and Score'!$C$47:$D$52,2,0)*CS$6,2)</f>
        <v>0.15</v>
      </c>
      <c r="CT12" s="29"/>
      <c r="CU12" s="67">
        <f>ROUND(VLOOKUP(AQ12,'OSM - Rating and Score'!$C$47:$D$52,2,0)*CU$6,2)</f>
        <v>0.2</v>
      </c>
      <c r="CV12" s="29"/>
      <c r="CW12" s="67">
        <f>ROUND(VLOOKUP(AS12,'OSM - Rating and Score'!$C$47:$D$52,2,0)*CW$6,2)</f>
        <v>0.21</v>
      </c>
      <c r="CX12" s="29"/>
      <c r="CY12" s="67">
        <f>ROUND(VLOOKUP(AU12,'OSM - Rating and Score'!$C$65:$D$70,2,0)*CY$6,2)</f>
        <v>0.2</v>
      </c>
      <c r="CZ12" s="29"/>
      <c r="DA12" s="67">
        <f>ROUND(VLOOKUP(AW12,'OSM - Rating and Score'!$C$8:$D$13,2,0)*DA$6,2)</f>
        <v>0</v>
      </c>
      <c r="DB12" s="29"/>
      <c r="DC12" s="67">
        <f>ROUND(VLOOKUP(AY12,'OSM - Rating and Score'!$C$75:$D$80,2,0)*DC$6,2)</f>
        <v>0.2</v>
      </c>
      <c r="DD12" s="29"/>
    </row>
    <row r="13" spans="2:108" ht="2.75" customHeight="1" x14ac:dyDescent="0.45">
      <c r="B13" s="29"/>
      <c r="C13" s="31"/>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row>
    <row r="14" spans="2:108" x14ac:dyDescent="0.45">
      <c r="B14" s="29"/>
      <c r="C14" s="7">
        <v>4</v>
      </c>
      <c r="D14" s="29"/>
      <c r="E14" t="s">
        <v>355</v>
      </c>
      <c r="F14" s="29"/>
      <c r="G14" t="s">
        <v>354</v>
      </c>
      <c r="H14" s="29"/>
      <c r="J14" s="29"/>
      <c r="L14" s="29"/>
      <c r="M14" s="25"/>
      <c r="N14" s="29"/>
      <c r="P14" s="29"/>
      <c r="R14" s="29"/>
      <c r="T14" s="29"/>
      <c r="V14" s="29"/>
      <c r="W14" s="25"/>
      <c r="X14" s="31"/>
      <c r="Y14" s="25"/>
      <c r="Z14" s="31"/>
      <c r="AA14" s="26"/>
      <c r="AB14" s="31"/>
      <c r="AC14" s="27"/>
      <c r="AD14" s="29"/>
      <c r="AF14" s="29"/>
      <c r="AH14" s="29"/>
      <c r="AI14" s="60"/>
      <c r="AJ14" s="29"/>
      <c r="AL14" s="29"/>
      <c r="AN14" s="29"/>
      <c r="AP14" s="29"/>
      <c r="AR14" s="29"/>
      <c r="AT14" s="29"/>
      <c r="AV14" s="29"/>
      <c r="AX14" s="29"/>
      <c r="AZ14" s="31"/>
      <c r="BA14" s="27" t="str">
        <f>IF(COUNTA(AY14,AW14,AU14,AS14,AQ14,AO14,AM14,AK14,AI14,AG14,AE14,AC14,AA14,Y14,W14,U14,S14,Q14,O14,K14,I14)=21,"✓","✗")</f>
        <v>✗</v>
      </c>
      <c r="BB14" s="31"/>
      <c r="BC14" s="69" t="str">
        <f>IFERROR(SUM(BM14:DC14),"")</f>
        <v/>
      </c>
      <c r="BD14" s="31"/>
      <c r="BE14" s="27" t="str">
        <f>IFERROR(LOOKUP(BC14,'OSM - Rating and Score'!$G$103:$I$108,'OSM - Rating and Score'!$C$103:$C$108),"")</f>
        <v/>
      </c>
      <c r="BF14" s="31"/>
      <c r="BG14" s="7"/>
      <c r="BH14" s="7"/>
      <c r="BI14" s="7"/>
      <c r="BJ14" s="7"/>
      <c r="BK14" s="7"/>
      <c r="BL14" s="29"/>
      <c r="BM14" s="67" t="e">
        <f>ROUND(VLOOKUP(I14,'OSM - Rating and Score'!$C$8:$D$13,2,0)*BM$6,2)</f>
        <v>#N/A</v>
      </c>
      <c r="BN14" s="29"/>
      <c r="BO14" s="67" t="e">
        <f>ROUND(VLOOKUP(K14,'OSM - Rating and Score'!$C$8:$D$13,2,0)*BO$6,2)</f>
        <v>#N/A</v>
      </c>
      <c r="BP14" s="29"/>
      <c r="BQ14" s="66"/>
      <c r="BR14" s="29"/>
      <c r="BS14" s="67" t="e">
        <f>ROUND(VLOOKUP(O14,'OSM - Rating and Score'!$C$17:$D$22,2,0)*BS$6,2)</f>
        <v>#N/A</v>
      </c>
      <c r="BT14" s="29"/>
      <c r="BU14" s="67" t="e">
        <f>ROUND(VLOOKUP(Q14,'OSM - Rating and Score'!$C$56:$D$61,2,0)*BU$6,2)</f>
        <v>#N/A</v>
      </c>
      <c r="BV14" s="29"/>
      <c r="BW14" s="67" t="e">
        <f>ROUND(VLOOKUP(S14,'OSM - Rating and Score'!$C$26:$D$31,2,0)*BW$6,2)</f>
        <v>#N/A</v>
      </c>
      <c r="BX14" s="29"/>
      <c r="BY14" s="67" t="e">
        <f>ROUND(VLOOKUP(U14,'OSM - Rating and Score'!$C$35:$D$40,2,0)*BY$6,2)</f>
        <v>#N/A</v>
      </c>
      <c r="BZ14" s="29"/>
      <c r="CA14" s="66"/>
      <c r="CB14" s="29"/>
      <c r="CC14" s="67">
        <f>ROUND(LOOKUP(Y14,'OSM - Rating and Score'!$G$85:$I$90,'OSM - Rating and Score'!$D$85:$D$90)*CC$6,2)</f>
        <v>0</v>
      </c>
      <c r="CD14" s="29"/>
      <c r="CE14" s="67">
        <f>ROUND(LOOKUP(AA14,'OSM - Rating and Score'!$G$113:$I$118,'OSM - Rating and Score'!$D$113:$D$118)*CE$6,2)</f>
        <v>0</v>
      </c>
      <c r="CF14" s="29"/>
      <c r="CG14" s="67">
        <f>ROUND(LOOKUP(AC14,'OSM - Rating and Score'!$G$94:$I$99,'OSM - Rating and Score'!$D$85:$D$90)*CG$6,2)</f>
        <v>0</v>
      </c>
      <c r="CH14" s="29"/>
      <c r="CI14" s="67" t="e">
        <f>ROUND(VLOOKUP(AE14,'OSM - Rating and Score'!$C$8:$D$13,2,0)*CI$6,2)</f>
        <v>#N/A</v>
      </c>
      <c r="CJ14" s="29"/>
      <c r="CK14" s="67" t="e">
        <f>ROUND(VLOOKUP(AG14,'OSM - Rating and Score'!$C$8:$D$13,2,0)*CK$6,2)</f>
        <v>#N/A</v>
      </c>
      <c r="CL14" s="29"/>
      <c r="CM14" s="67">
        <v>0</v>
      </c>
      <c r="CN14" s="29"/>
      <c r="CO14" s="67" t="e">
        <f>ROUND(VLOOKUP(AK14,'OSM - Rating and Score'!$C$8:$D$13,2,0)*CO$6,2)</f>
        <v>#N/A</v>
      </c>
      <c r="CP14" s="29"/>
      <c r="CQ14" s="67" t="e">
        <f>ROUND(VLOOKUP(AM14,'OSM - Rating and Score'!$C$47:$D$52,2,0)*CQ$6,2)</f>
        <v>#N/A</v>
      </c>
      <c r="CR14" s="29"/>
      <c r="CS14" s="67" t="e">
        <f>ROUND(VLOOKUP(AO14,'OSM - Rating and Score'!$C$47:$D$52,2,0)*CS$6,2)</f>
        <v>#N/A</v>
      </c>
      <c r="CT14" s="29"/>
      <c r="CU14" s="67" t="e">
        <f>ROUND(VLOOKUP(AQ14,'OSM - Rating and Score'!$C$47:$D$52,2,0)*CU$6,2)</f>
        <v>#N/A</v>
      </c>
      <c r="CV14" s="29"/>
      <c r="CW14" s="67" t="e">
        <f>ROUND(VLOOKUP(AS14,'OSM - Rating and Score'!$C$47:$D$52,2,0)*CW$6,2)</f>
        <v>#N/A</v>
      </c>
      <c r="CX14" s="29"/>
      <c r="CY14" s="67" t="e">
        <f>ROUND(VLOOKUP(AU14,'OSM - Rating and Score'!$C$65:$D$70,2,0)*CY$6,2)</f>
        <v>#N/A</v>
      </c>
      <c r="CZ14" s="29"/>
      <c r="DA14" s="67" t="e">
        <f>ROUND(VLOOKUP(AW14,'OSM - Rating and Score'!$C$8:$D$13,2,0)*DA$6,2)</f>
        <v>#N/A</v>
      </c>
      <c r="DB14" s="29"/>
      <c r="DC14" s="67" t="e">
        <f>ROUND(VLOOKUP(AY14,'OSM - Rating and Score'!$C$75:$D$80,2,0)*DC$6,2)</f>
        <v>#N/A</v>
      </c>
      <c r="DD14" s="29"/>
    </row>
    <row r="15" spans="2:108" ht="2.75" customHeight="1" x14ac:dyDescent="0.45">
      <c r="B15" s="29"/>
      <c r="C15" s="31"/>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row>
    <row r="16" spans="2:108" ht="57" x14ac:dyDescent="0.45">
      <c r="B16" s="29"/>
      <c r="C16" s="7">
        <v>5</v>
      </c>
      <c r="D16" s="29"/>
      <c r="E16" s="71" t="s">
        <v>358</v>
      </c>
      <c r="F16" s="29"/>
      <c r="G16" s="73" t="s">
        <v>359</v>
      </c>
      <c r="H16" s="29"/>
      <c r="I16" t="s">
        <v>83</v>
      </c>
      <c r="J16" s="29"/>
      <c r="K16" t="s">
        <v>83</v>
      </c>
      <c r="L16" s="29"/>
      <c r="M16" s="25"/>
      <c r="N16" s="29"/>
      <c r="O16" t="s">
        <v>110</v>
      </c>
      <c r="P16" s="29"/>
      <c r="Q16" t="s">
        <v>294</v>
      </c>
      <c r="R16" s="29"/>
      <c r="S16" t="s">
        <v>124</v>
      </c>
      <c r="T16" s="29"/>
      <c r="U16" t="s">
        <v>315</v>
      </c>
      <c r="V16" s="29"/>
      <c r="W16" s="25">
        <v>60</v>
      </c>
      <c r="X16" s="31"/>
      <c r="Y16" s="25">
        <v>4</v>
      </c>
      <c r="Z16" s="31"/>
      <c r="AA16" s="26">
        <v>0.2</v>
      </c>
      <c r="AB16" s="31"/>
      <c r="AC16" s="27">
        <f>ROUND(Y16*(1+AA16)^5,0)</f>
        <v>10</v>
      </c>
      <c r="AD16" s="29"/>
      <c r="AE16" t="s">
        <v>83</v>
      </c>
      <c r="AF16" s="29"/>
      <c r="AG16" t="s">
        <v>86</v>
      </c>
      <c r="AH16" s="29"/>
      <c r="AI16" s="60">
        <v>0</v>
      </c>
      <c r="AJ16" s="29"/>
      <c r="AK16" t="s">
        <v>87</v>
      </c>
      <c r="AL16" s="29"/>
      <c r="AM16" t="s">
        <v>150</v>
      </c>
      <c r="AN16" s="29"/>
      <c r="AO16" t="s">
        <v>147</v>
      </c>
      <c r="AP16" s="29"/>
      <c r="AQ16" t="s">
        <v>148</v>
      </c>
      <c r="AR16" s="29"/>
      <c r="AS16" t="s">
        <v>147</v>
      </c>
      <c r="AT16" s="29"/>
      <c r="AU16" t="s">
        <v>148</v>
      </c>
      <c r="AV16" s="29"/>
      <c r="AW16" t="s">
        <v>84</v>
      </c>
      <c r="AX16" s="29"/>
      <c r="AY16" t="s">
        <v>215</v>
      </c>
      <c r="AZ16" s="31"/>
      <c r="BA16" s="27" t="str">
        <f>IF(COUNTA(AY16,AW16,AU16,AS16,AQ16,AO16,AM16,AK16,AI16,AG16,AE16,AC16,AA16,Y16,W16,U16,S16,Q16,O16,K16,I16)=21,"✓","✗")</f>
        <v>✓</v>
      </c>
      <c r="BB16" s="31"/>
      <c r="BC16" s="69">
        <f>IFERROR(SUM(BM16:DC16),"")</f>
        <v>3.3699999999999997</v>
      </c>
      <c r="BD16" s="31"/>
      <c r="BE16" s="27" t="str">
        <f>IFERROR(LOOKUP(BC16,'OSM - Rating and Score'!$G$103:$I$108,'OSM - Rating and Score'!$C$103:$C$108),"")</f>
        <v>Moderate</v>
      </c>
      <c r="BF16" s="31"/>
      <c r="BG16" s="70" t="s">
        <v>405</v>
      </c>
      <c r="BH16" s="70" t="s">
        <v>413</v>
      </c>
      <c r="BI16" s="7"/>
      <c r="BJ16" s="7"/>
      <c r="BK16" s="7"/>
      <c r="BL16" s="29"/>
      <c r="BM16" s="67">
        <f>ROUND(VLOOKUP(I16,'OSM - Rating and Score'!$C$8:$D$13,2,0)*BM$6,2)</f>
        <v>0</v>
      </c>
      <c r="BN16" s="29"/>
      <c r="BO16" s="67">
        <f>ROUND(VLOOKUP(K16,'OSM - Rating and Score'!$C$8:$D$13,2,0)*BO$6,2)</f>
        <v>0.2</v>
      </c>
      <c r="BP16" s="29"/>
      <c r="BQ16" s="66"/>
      <c r="BR16" s="29"/>
      <c r="BS16" s="67">
        <f>ROUND(VLOOKUP(O16,'OSM - Rating and Score'!$C$17:$D$22,2,0)*BS$6,2)</f>
        <v>0.2</v>
      </c>
      <c r="BT16" s="29"/>
      <c r="BU16" s="67">
        <f>ROUND(VLOOKUP(Q16,'OSM - Rating and Score'!$C$56:$D$61,2,0)*BU$6,2)</f>
        <v>0.28000000000000003</v>
      </c>
      <c r="BV16" s="29"/>
      <c r="BW16" s="67">
        <f>ROUND(VLOOKUP(S16,'OSM - Rating and Score'!$C$26:$D$31,2,0)*BW$6,2)</f>
        <v>0.15</v>
      </c>
      <c r="BX16" s="29"/>
      <c r="BY16" s="67">
        <f>ROUND(VLOOKUP(U16,'OSM - Rating and Score'!$C$35:$D$40,2,0)*BY$6,2)</f>
        <v>0.21</v>
      </c>
      <c r="BZ16" s="29"/>
      <c r="CA16" s="66"/>
      <c r="CB16" s="29"/>
      <c r="CC16" s="67">
        <f>ROUND(LOOKUP(Y16,'OSM - Rating and Score'!$G$85:$I$90,'OSM - Rating and Score'!$D$85:$D$90)*CC$6,2)</f>
        <v>0.2</v>
      </c>
      <c r="CD16" s="29"/>
      <c r="CE16" s="67">
        <f>ROUND(LOOKUP(AA16,'OSM - Rating and Score'!$G$113:$I$118,'OSM - Rating and Score'!$D$113:$D$118)*CE$6,2)</f>
        <v>0.16</v>
      </c>
      <c r="CF16" s="29"/>
      <c r="CG16" s="67">
        <f>ROUND(LOOKUP(AC16,'OSM - Rating and Score'!$G$94:$I$99,'OSM - Rating and Score'!$D$85:$D$90)*CG$6,2)</f>
        <v>0.1</v>
      </c>
      <c r="CH16" s="29"/>
      <c r="CI16" s="67">
        <f>ROUND(VLOOKUP(AE16,'OSM - Rating and Score'!$C$8:$D$13,2,0)*CI$6,2)</f>
        <v>0.4</v>
      </c>
      <c r="CJ16" s="29"/>
      <c r="CK16" s="67">
        <f>ROUND(VLOOKUP(AG16,'OSM - Rating and Score'!$C$8:$D$13,2,0)*CK$6,2)</f>
        <v>0.04</v>
      </c>
      <c r="CL16" s="29"/>
      <c r="CM16" s="67">
        <v>0</v>
      </c>
      <c r="CN16" s="29"/>
      <c r="CO16" s="67">
        <f>ROUND(VLOOKUP(AK16,'OSM - Rating and Score'!$C$8:$D$13,2,0)*CO$6,2)</f>
        <v>0.35</v>
      </c>
      <c r="CP16" s="29"/>
      <c r="CQ16" s="67">
        <f>ROUND(VLOOKUP(AM16,'OSM - Rating and Score'!$C$47:$D$52,2,0)*CQ$6,2)</f>
        <v>0.05</v>
      </c>
      <c r="CR16" s="29"/>
      <c r="CS16" s="67">
        <f>ROUND(VLOOKUP(AO16,'OSM - Rating and Score'!$C$47:$D$52,2,0)*CS$6,2)</f>
        <v>0.2</v>
      </c>
      <c r="CT16" s="29"/>
      <c r="CU16" s="67">
        <f>ROUND(VLOOKUP(AQ16,'OSM - Rating and Score'!$C$47:$D$52,2,0)*CU$6,2)</f>
        <v>0.15</v>
      </c>
      <c r="CV16" s="29"/>
      <c r="CW16" s="67">
        <f>ROUND(VLOOKUP(AS16,'OSM - Rating and Score'!$C$47:$D$52,2,0)*CW$6,2)</f>
        <v>0.28000000000000003</v>
      </c>
      <c r="CX16" s="29"/>
      <c r="CY16" s="67">
        <f>ROUND(VLOOKUP(AU16,'OSM - Rating and Score'!$C$65:$D$70,2,0)*CY$6,2)</f>
        <v>0.15</v>
      </c>
      <c r="CZ16" s="29"/>
      <c r="DA16" s="67">
        <f>ROUND(VLOOKUP(AW16,'OSM - Rating and Score'!$C$8:$D$13,2,0)*DA$6,2)</f>
        <v>0</v>
      </c>
      <c r="DB16" s="29"/>
      <c r="DC16" s="67">
        <f>ROUND(VLOOKUP(AY16,'OSM - Rating and Score'!$C$75:$D$80,2,0)*DC$6,2)</f>
        <v>0.25</v>
      </c>
      <c r="DD16" s="29"/>
    </row>
    <row r="17" spans="2:108" ht="2.75" customHeight="1" x14ac:dyDescent="0.45">
      <c r="B17" s="29"/>
      <c r="C17" s="31"/>
      <c r="D17" s="29"/>
      <c r="E17" s="71"/>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row>
    <row r="18" spans="2:108" ht="85.5" x14ac:dyDescent="0.45">
      <c r="B18" s="29"/>
      <c r="C18" s="7">
        <v>6</v>
      </c>
      <c r="D18" s="29"/>
      <c r="E18" s="71" t="s">
        <v>360</v>
      </c>
      <c r="F18" s="29"/>
      <c r="G18" t="s">
        <v>361</v>
      </c>
      <c r="H18" s="29"/>
      <c r="I18" t="s">
        <v>83</v>
      </c>
      <c r="J18" s="29"/>
      <c r="K18" t="s">
        <v>83</v>
      </c>
      <c r="L18" s="29"/>
      <c r="M18" s="25"/>
      <c r="N18" s="29"/>
      <c r="O18" t="s">
        <v>110</v>
      </c>
      <c r="P18" s="29"/>
      <c r="Q18" t="s">
        <v>294</v>
      </c>
      <c r="R18" s="29"/>
      <c r="S18" t="s">
        <v>124</v>
      </c>
      <c r="T18" s="29"/>
      <c r="U18" t="s">
        <v>315</v>
      </c>
      <c r="V18" s="29"/>
      <c r="W18" s="25">
        <v>40</v>
      </c>
      <c r="X18" s="31"/>
      <c r="Y18" s="25">
        <v>3</v>
      </c>
      <c r="Z18" s="31"/>
      <c r="AA18" s="26">
        <v>0.3</v>
      </c>
      <c r="AB18" s="31"/>
      <c r="AC18" s="27">
        <f>ROUND(Y18*(1+AA18)^5,0)</f>
        <v>11</v>
      </c>
      <c r="AD18" s="29"/>
      <c r="AE18" t="s">
        <v>83</v>
      </c>
      <c r="AF18" s="29"/>
      <c r="AG18" t="s">
        <v>84</v>
      </c>
      <c r="AH18" s="29"/>
      <c r="AI18" s="60"/>
      <c r="AJ18" s="29"/>
      <c r="AK18" t="s">
        <v>83</v>
      </c>
      <c r="AL18" s="29"/>
      <c r="AM18" t="s">
        <v>148</v>
      </c>
      <c r="AN18" s="29"/>
      <c r="AO18" t="s">
        <v>148</v>
      </c>
      <c r="AP18" s="29"/>
      <c r="AQ18" t="s">
        <v>147</v>
      </c>
      <c r="AR18" s="29"/>
      <c r="AS18" t="s">
        <v>147</v>
      </c>
      <c r="AT18" s="29"/>
      <c r="AU18" t="s">
        <v>148</v>
      </c>
      <c r="AV18" s="29"/>
      <c r="AW18" t="s">
        <v>88</v>
      </c>
      <c r="AX18" s="29"/>
      <c r="AY18" t="s">
        <v>216</v>
      </c>
      <c r="AZ18" s="31"/>
      <c r="BA18" s="27" t="str">
        <f>IF(COUNTA(AY18,AW18,AU18,AS18,AQ18,AO18,AM18,AK18,AI18,AG18,AE18,AC18,AA18,Y18,W18,U18,S18,Q18,O18,K18,I18)=21,"✓","✗")</f>
        <v>✗</v>
      </c>
      <c r="BB18" s="31"/>
      <c r="BC18" s="69">
        <f>IFERROR(SUM(BM18:DC18),"")</f>
        <v>3.5100000000000002</v>
      </c>
      <c r="BD18" s="31"/>
      <c r="BE18" s="27" t="str">
        <f>IFERROR(LOOKUP(BC18,'OSM - Rating and Score'!$G$103:$I$108,'OSM - Rating and Score'!$C$103:$C$108),"")</f>
        <v>Attractive</v>
      </c>
      <c r="BF18" s="31"/>
      <c r="BG18" s="70" t="s">
        <v>406</v>
      </c>
      <c r="BH18" s="70" t="s">
        <v>414</v>
      </c>
      <c r="BI18" s="7"/>
      <c r="BJ18" s="7"/>
      <c r="BK18" s="7"/>
      <c r="BL18" s="29"/>
      <c r="BM18" s="67">
        <f>ROUND(VLOOKUP(I18,'OSM - Rating and Score'!$C$8:$D$13,2,0)*BM$6,2)</f>
        <v>0</v>
      </c>
      <c r="BN18" s="29"/>
      <c r="BO18" s="67">
        <f>ROUND(VLOOKUP(K18,'OSM - Rating and Score'!$C$8:$D$13,2,0)*BO$6,2)</f>
        <v>0.2</v>
      </c>
      <c r="BP18" s="29"/>
      <c r="BQ18" s="66"/>
      <c r="BR18" s="29"/>
      <c r="BS18" s="67">
        <f>ROUND(VLOOKUP(O18,'OSM - Rating and Score'!$C$17:$D$22,2,0)*BS$6,2)</f>
        <v>0.2</v>
      </c>
      <c r="BT18" s="29"/>
      <c r="BU18" s="67">
        <f>ROUND(VLOOKUP(Q18,'OSM - Rating and Score'!$C$56:$D$61,2,0)*BU$6,2)</f>
        <v>0.28000000000000003</v>
      </c>
      <c r="BV18" s="29"/>
      <c r="BW18" s="67">
        <f>ROUND(VLOOKUP(S18,'OSM - Rating and Score'!$C$26:$D$31,2,0)*BW$6,2)</f>
        <v>0.15</v>
      </c>
      <c r="BX18" s="29"/>
      <c r="BY18" s="67">
        <f>ROUND(VLOOKUP(U18,'OSM - Rating and Score'!$C$35:$D$40,2,0)*BY$6,2)</f>
        <v>0.21</v>
      </c>
      <c r="BZ18" s="29"/>
      <c r="CA18" s="66"/>
      <c r="CB18" s="29"/>
      <c r="CC18" s="67">
        <f>ROUND(LOOKUP(Y18,'OSM - Rating and Score'!$G$85:$I$90,'OSM - Rating and Score'!$D$85:$D$90)*CC$6,2)</f>
        <v>0.2</v>
      </c>
      <c r="CD18" s="29"/>
      <c r="CE18" s="67">
        <f>ROUND(LOOKUP(AA18,'OSM - Rating and Score'!$G$113:$I$118,'OSM - Rating and Score'!$D$113:$D$118)*CE$6,2)</f>
        <v>0.24</v>
      </c>
      <c r="CF18" s="29"/>
      <c r="CG18" s="67">
        <f>ROUND(LOOKUP(AC18,'OSM - Rating and Score'!$G$94:$I$99,'OSM - Rating and Score'!$D$85:$D$90)*CG$6,2)</f>
        <v>0.1</v>
      </c>
      <c r="CH18" s="29"/>
      <c r="CI18" s="67">
        <f>ROUND(VLOOKUP(AE18,'OSM - Rating and Score'!$C$8:$D$13,2,0)*CI$6,2)</f>
        <v>0.4</v>
      </c>
      <c r="CJ18" s="29"/>
      <c r="CK18" s="67">
        <f>ROUND(VLOOKUP(AG18,'OSM - Rating and Score'!$C$8:$D$13,2,0)*CK$6,2)</f>
        <v>0.12</v>
      </c>
      <c r="CL18" s="29"/>
      <c r="CM18" s="67">
        <v>0</v>
      </c>
      <c r="CN18" s="29"/>
      <c r="CO18" s="67">
        <f>ROUND(VLOOKUP(AK18,'OSM - Rating and Score'!$C$8:$D$13,2,0)*CO$6,2)</f>
        <v>0.28000000000000003</v>
      </c>
      <c r="CP18" s="29"/>
      <c r="CQ18" s="67">
        <f>ROUND(VLOOKUP(AM18,'OSM - Rating and Score'!$C$47:$D$52,2,0)*CQ$6,2)</f>
        <v>0.15</v>
      </c>
      <c r="CR18" s="29"/>
      <c r="CS18" s="67">
        <f>ROUND(VLOOKUP(AO18,'OSM - Rating and Score'!$C$47:$D$52,2,0)*CS$6,2)</f>
        <v>0.15</v>
      </c>
      <c r="CT18" s="29"/>
      <c r="CU18" s="67">
        <f>ROUND(VLOOKUP(AQ18,'OSM - Rating and Score'!$C$47:$D$52,2,0)*CU$6,2)</f>
        <v>0.2</v>
      </c>
      <c r="CV18" s="29"/>
      <c r="CW18" s="67">
        <f>ROUND(VLOOKUP(AS18,'OSM - Rating and Score'!$C$47:$D$52,2,0)*CW$6,2)</f>
        <v>0.28000000000000003</v>
      </c>
      <c r="CX18" s="29"/>
      <c r="CY18" s="67">
        <f>ROUND(VLOOKUP(AU18,'OSM - Rating and Score'!$C$65:$D$70,2,0)*CY$6,2)</f>
        <v>0.15</v>
      </c>
      <c r="CZ18" s="29"/>
      <c r="DA18" s="67">
        <f>ROUND(VLOOKUP(AW18,'OSM - Rating and Score'!$C$8:$D$13,2,0)*DA$6,2)</f>
        <v>0</v>
      </c>
      <c r="DB18" s="29"/>
      <c r="DC18" s="67">
        <f>ROUND(VLOOKUP(AY18,'OSM - Rating and Score'!$C$75:$D$80,2,0)*DC$6,2)</f>
        <v>0.2</v>
      </c>
      <c r="DD18" s="29"/>
    </row>
    <row r="19" spans="2:108" ht="2.75" customHeight="1" x14ac:dyDescent="0.45">
      <c r="B19" s="29"/>
      <c r="C19" s="31"/>
      <c r="D19" s="29"/>
      <c r="E19" s="71"/>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row>
    <row r="20" spans="2:108" ht="28.5" x14ac:dyDescent="0.45">
      <c r="B20" s="29"/>
      <c r="C20" s="7">
        <v>7</v>
      </c>
      <c r="D20" s="29"/>
      <c r="E20" s="71" t="s">
        <v>358</v>
      </c>
      <c r="F20" s="29"/>
      <c r="G20" t="s">
        <v>362</v>
      </c>
      <c r="H20" s="29"/>
      <c r="I20" t="s">
        <v>84</v>
      </c>
      <c r="J20" s="29"/>
      <c r="K20" t="s">
        <v>83</v>
      </c>
      <c r="L20" s="29"/>
      <c r="M20" s="25"/>
      <c r="N20" s="29"/>
      <c r="O20" t="s">
        <v>110</v>
      </c>
      <c r="P20" s="29"/>
      <c r="Q20" t="s">
        <v>294</v>
      </c>
      <c r="R20" s="29"/>
      <c r="S20" t="s">
        <v>124</v>
      </c>
      <c r="T20" s="29"/>
      <c r="U20" t="s">
        <v>315</v>
      </c>
      <c r="V20" s="29"/>
      <c r="W20" s="25">
        <v>30</v>
      </c>
      <c r="X20" s="31"/>
      <c r="Y20" s="25">
        <v>2</v>
      </c>
      <c r="Z20" s="31"/>
      <c r="AA20" s="26">
        <v>0.3</v>
      </c>
      <c r="AB20" s="31"/>
      <c r="AC20" s="27">
        <f>ROUND(Y20*(1+AA20)^5,0)</f>
        <v>7</v>
      </c>
      <c r="AD20" s="29"/>
      <c r="AE20" t="s">
        <v>83</v>
      </c>
      <c r="AF20" s="29"/>
      <c r="AG20" t="s">
        <v>86</v>
      </c>
      <c r="AH20" s="29"/>
      <c r="AI20" s="60">
        <v>0</v>
      </c>
      <c r="AJ20" s="29"/>
      <c r="AK20" t="s">
        <v>84</v>
      </c>
      <c r="AL20" s="29"/>
      <c r="AM20" t="s">
        <v>149</v>
      </c>
      <c r="AN20" s="29"/>
      <c r="AO20" t="s">
        <v>147</v>
      </c>
      <c r="AP20" s="29"/>
      <c r="AQ20" t="s">
        <v>148</v>
      </c>
      <c r="AR20" s="29"/>
      <c r="AS20" t="s">
        <v>146</v>
      </c>
      <c r="AT20" s="29"/>
      <c r="AU20" t="s">
        <v>148</v>
      </c>
      <c r="AV20" s="29"/>
      <c r="AW20" t="s">
        <v>86</v>
      </c>
      <c r="AX20" s="29"/>
      <c r="AY20" t="s">
        <v>84</v>
      </c>
      <c r="AZ20" s="31"/>
      <c r="BA20" s="27" t="str">
        <f>IF(COUNTA(AY20,AW20,AU20,AS20,AQ20,AO20,AM20,AK20,AI20,AG20,AE20,AC20,AA20,Y20,W20,U20,S20,Q20,O20,K20,I20)=21,"✓","✗")</f>
        <v>✓</v>
      </c>
      <c r="BB20" s="31"/>
      <c r="BC20" s="69">
        <f>IFERROR(SUM(BM20:DC20),"")</f>
        <v>3.33</v>
      </c>
      <c r="BD20" s="31"/>
      <c r="BE20" s="27" t="str">
        <f>IFERROR(LOOKUP(BC20,'OSM - Rating and Score'!$G$103:$I$108,'OSM - Rating and Score'!$C$103:$C$108),"")</f>
        <v>Moderate</v>
      </c>
      <c r="BF20" s="31"/>
      <c r="BG20" s="70" t="s">
        <v>407</v>
      </c>
      <c r="BH20" s="7"/>
      <c r="BI20" s="7"/>
      <c r="BJ20" s="7"/>
      <c r="BK20" s="7"/>
      <c r="BL20" s="29"/>
      <c r="BM20" s="67">
        <f>ROUND(VLOOKUP(I20,'OSM - Rating and Score'!$C$8:$D$13,2,0)*BM$6,2)</f>
        <v>0</v>
      </c>
      <c r="BN20" s="29"/>
      <c r="BO20" s="67">
        <f>ROUND(VLOOKUP(K20,'OSM - Rating and Score'!$C$8:$D$13,2,0)*BO$6,2)</f>
        <v>0.2</v>
      </c>
      <c r="BP20" s="29"/>
      <c r="BQ20" s="66"/>
      <c r="BR20" s="29"/>
      <c r="BS20" s="67">
        <f>ROUND(VLOOKUP(O20,'OSM - Rating and Score'!$C$17:$D$22,2,0)*BS$6,2)</f>
        <v>0.2</v>
      </c>
      <c r="BT20" s="29"/>
      <c r="BU20" s="67">
        <f>ROUND(VLOOKUP(Q20,'OSM - Rating and Score'!$C$56:$D$61,2,0)*BU$6,2)</f>
        <v>0.28000000000000003</v>
      </c>
      <c r="BV20" s="29"/>
      <c r="BW20" s="67">
        <f>ROUND(VLOOKUP(S20,'OSM - Rating and Score'!$C$26:$D$31,2,0)*BW$6,2)</f>
        <v>0.15</v>
      </c>
      <c r="BX20" s="29"/>
      <c r="BY20" s="67">
        <f>ROUND(VLOOKUP(U20,'OSM - Rating and Score'!$C$35:$D$40,2,0)*BY$6,2)</f>
        <v>0.21</v>
      </c>
      <c r="BZ20" s="29"/>
      <c r="CA20" s="66"/>
      <c r="CB20" s="29"/>
      <c r="CC20" s="67">
        <f>ROUND(LOOKUP(Y20,'OSM - Rating and Score'!$G$85:$I$90,'OSM - Rating and Score'!$D$85:$D$90)*CC$6,2)</f>
        <v>0.2</v>
      </c>
      <c r="CD20" s="29"/>
      <c r="CE20" s="67">
        <f>ROUND(LOOKUP(AA20,'OSM - Rating and Score'!$G$113:$I$118,'OSM - Rating and Score'!$D$113:$D$118)*CE$6,2)</f>
        <v>0.24</v>
      </c>
      <c r="CF20" s="29"/>
      <c r="CG20" s="67">
        <f>ROUND(LOOKUP(AC20,'OSM - Rating and Score'!$G$94:$I$99,'OSM - Rating and Score'!$D$85:$D$90)*CG$6,2)</f>
        <v>0.1</v>
      </c>
      <c r="CH20" s="29"/>
      <c r="CI20" s="67">
        <f>ROUND(VLOOKUP(AE20,'OSM - Rating and Score'!$C$8:$D$13,2,0)*CI$6,2)</f>
        <v>0.4</v>
      </c>
      <c r="CJ20" s="29"/>
      <c r="CK20" s="67">
        <f>ROUND(VLOOKUP(AG20,'OSM - Rating and Score'!$C$8:$D$13,2,0)*CK$6,2)</f>
        <v>0.04</v>
      </c>
      <c r="CL20" s="29"/>
      <c r="CM20" s="67">
        <v>0</v>
      </c>
      <c r="CN20" s="29"/>
      <c r="CO20" s="67">
        <f>ROUND(VLOOKUP(AK20,'OSM - Rating and Score'!$C$8:$D$13,2,0)*CO$6,2)</f>
        <v>0.21</v>
      </c>
      <c r="CP20" s="29"/>
      <c r="CQ20" s="67">
        <f>ROUND(VLOOKUP(AM20,'OSM - Rating and Score'!$C$47:$D$52,2,0)*CQ$6,2)</f>
        <v>0.1</v>
      </c>
      <c r="CR20" s="29"/>
      <c r="CS20" s="67">
        <f>ROUND(VLOOKUP(AO20,'OSM - Rating and Score'!$C$47:$D$52,2,0)*CS$6,2)</f>
        <v>0.2</v>
      </c>
      <c r="CT20" s="29"/>
      <c r="CU20" s="67">
        <f>ROUND(VLOOKUP(AQ20,'OSM - Rating and Score'!$C$47:$D$52,2,0)*CU$6,2)</f>
        <v>0.15</v>
      </c>
      <c r="CV20" s="29"/>
      <c r="CW20" s="67">
        <f>ROUND(VLOOKUP(AS20,'OSM - Rating and Score'!$C$47:$D$52,2,0)*CW$6,2)</f>
        <v>0.35</v>
      </c>
      <c r="CX20" s="29"/>
      <c r="CY20" s="67">
        <f>ROUND(VLOOKUP(AU20,'OSM - Rating and Score'!$C$65:$D$70,2,0)*CY$6,2)</f>
        <v>0.15</v>
      </c>
      <c r="CZ20" s="29"/>
      <c r="DA20" s="67">
        <f>ROUND(VLOOKUP(AW20,'OSM - Rating and Score'!$C$8:$D$13,2,0)*DA$6,2)</f>
        <v>0</v>
      </c>
      <c r="DB20" s="29"/>
      <c r="DC20" s="67">
        <f>ROUND(VLOOKUP(AY20,'OSM - Rating and Score'!$C$75:$D$80,2,0)*DC$6,2)</f>
        <v>0.15</v>
      </c>
      <c r="DD20" s="29"/>
    </row>
    <row r="21" spans="2:108" ht="2.75" customHeight="1" x14ac:dyDescent="0.45">
      <c r="B21" s="29"/>
      <c r="C21" s="31"/>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row>
    <row r="22" spans="2:108" ht="2.4500000000000002" customHeight="1" x14ac:dyDescent="0.45">
      <c r="B22" s="29"/>
      <c r="C22" s="31"/>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row>
    <row r="23" spans="2:108" x14ac:dyDescent="0.45">
      <c r="B23" s="29"/>
      <c r="C23" s="7">
        <v>8</v>
      </c>
      <c r="D23" s="29"/>
      <c r="E23" t="s">
        <v>363</v>
      </c>
      <c r="F23" s="29"/>
      <c r="G23" t="s">
        <v>364</v>
      </c>
      <c r="H23" s="29"/>
      <c r="I23" t="s">
        <v>84</v>
      </c>
      <c r="J23" s="29"/>
      <c r="K23" t="s">
        <v>84</v>
      </c>
      <c r="L23" s="29"/>
      <c r="M23" s="25"/>
      <c r="N23" s="29"/>
      <c r="O23" t="s">
        <v>112</v>
      </c>
      <c r="P23" s="29"/>
      <c r="Q23" t="s">
        <v>294</v>
      </c>
      <c r="R23" s="29"/>
      <c r="S23" t="s">
        <v>124</v>
      </c>
      <c r="T23" s="29"/>
      <c r="U23" t="s">
        <v>314</v>
      </c>
      <c r="V23" s="29"/>
      <c r="W23" s="25">
        <v>80</v>
      </c>
      <c r="X23" s="31"/>
      <c r="Y23" s="25">
        <v>4</v>
      </c>
      <c r="Z23" s="31"/>
      <c r="AA23" s="26">
        <v>0.2</v>
      </c>
      <c r="AB23" s="31"/>
      <c r="AC23" s="27">
        <f>ROUND(Y23*(1+AA23)^5,0)</f>
        <v>10</v>
      </c>
      <c r="AD23" s="29"/>
      <c r="AE23" t="s">
        <v>83</v>
      </c>
      <c r="AF23" s="29"/>
      <c r="AG23" t="s">
        <v>86</v>
      </c>
      <c r="AH23" s="29"/>
      <c r="AI23" s="60"/>
      <c r="AJ23" s="29"/>
      <c r="AK23" t="s">
        <v>83</v>
      </c>
      <c r="AL23" s="29"/>
      <c r="AM23" t="s">
        <v>149</v>
      </c>
      <c r="AN23" s="29"/>
      <c r="AO23" t="s">
        <v>148</v>
      </c>
      <c r="AP23" s="29"/>
      <c r="AQ23" t="s">
        <v>148</v>
      </c>
      <c r="AR23" s="29"/>
      <c r="AS23" t="s">
        <v>148</v>
      </c>
      <c r="AT23" s="29"/>
      <c r="AU23" t="s">
        <v>288</v>
      </c>
      <c r="AV23" s="29"/>
      <c r="AW23" t="s">
        <v>86</v>
      </c>
      <c r="AX23" s="29"/>
      <c r="AY23" t="s">
        <v>84</v>
      </c>
      <c r="AZ23" s="31"/>
      <c r="BA23" s="27" t="str">
        <f>IF(COUNTA(AY23,AW23,AU23,AS23,AQ23,AO23,AM23,AK23,AI23,AG23,AE23,AC23,AA23,Y23,W23,U23,S23,Q23,O23,K23,I23)=21,"✓","✗")</f>
        <v>✗</v>
      </c>
      <c r="BB23" s="31"/>
      <c r="BC23" s="69">
        <f>IFERROR(SUM(BM23:DC23),"")</f>
        <v>3.1500000000000004</v>
      </c>
      <c r="BD23" s="31"/>
      <c r="BE23" s="27" t="str">
        <f>IFERROR(LOOKUP(BC23,'OSM - Rating and Score'!$G$103:$I$108,'OSM - Rating and Score'!$C$103:$C$108),"")</f>
        <v>Moderate</v>
      </c>
      <c r="BF23" s="31"/>
      <c r="BG23" s="7" t="s">
        <v>365</v>
      </c>
      <c r="BH23" s="7"/>
      <c r="BI23" s="7"/>
      <c r="BJ23" s="7"/>
      <c r="BK23" s="7"/>
      <c r="BL23" s="29"/>
      <c r="BM23" s="67">
        <f>ROUND(VLOOKUP(I23,'OSM - Rating and Score'!$C$8:$D$13,2,0)*BM$6,2)</f>
        <v>0</v>
      </c>
      <c r="BN23" s="29"/>
      <c r="BO23" s="67">
        <f>ROUND(VLOOKUP(K23,'OSM - Rating and Score'!$C$8:$D$13,2,0)*BO$6,2)</f>
        <v>0.15</v>
      </c>
      <c r="BP23" s="29"/>
      <c r="BQ23" s="66"/>
      <c r="BR23" s="29"/>
      <c r="BS23" s="67">
        <f>ROUND(VLOOKUP(O23,'OSM - Rating and Score'!$C$17:$D$22,2,0)*BS$6,2)</f>
        <v>0.15</v>
      </c>
      <c r="BT23" s="29"/>
      <c r="BU23" s="67">
        <f>ROUND(VLOOKUP(Q23,'OSM - Rating and Score'!$C$56:$D$61,2,0)*BU$6,2)</f>
        <v>0.28000000000000003</v>
      </c>
      <c r="BV23" s="29"/>
      <c r="BW23" s="67">
        <f>ROUND(VLOOKUP(S23,'OSM - Rating and Score'!$C$26:$D$31,2,0)*BW$6,2)</f>
        <v>0.15</v>
      </c>
      <c r="BX23" s="29"/>
      <c r="BY23" s="67">
        <f>ROUND(VLOOKUP(U23,'OSM - Rating and Score'!$C$35:$D$40,2,0)*BY$6,2)</f>
        <v>0.28000000000000003</v>
      </c>
      <c r="BZ23" s="29"/>
      <c r="CA23" s="66"/>
      <c r="CB23" s="29"/>
      <c r="CC23" s="67">
        <f>ROUND(LOOKUP(Y23,'OSM - Rating and Score'!$G$85:$I$90,'OSM - Rating and Score'!$D$85:$D$90)*CC$6,2)</f>
        <v>0.2</v>
      </c>
      <c r="CD23" s="29"/>
      <c r="CE23" s="67">
        <f>ROUND(LOOKUP(AA23,'OSM - Rating and Score'!$G$113:$I$118,'OSM - Rating and Score'!$D$113:$D$118)*CE$6,2)</f>
        <v>0.16</v>
      </c>
      <c r="CF23" s="29"/>
      <c r="CG23" s="67">
        <f>ROUND(LOOKUP(AC23,'OSM - Rating and Score'!$G$94:$I$99,'OSM - Rating and Score'!$D$85:$D$90)*CG$6,2)</f>
        <v>0.1</v>
      </c>
      <c r="CH23" s="29"/>
      <c r="CI23" s="67">
        <f>ROUND(VLOOKUP(AE23,'OSM - Rating and Score'!$C$8:$D$13,2,0)*CI$6,2)</f>
        <v>0.4</v>
      </c>
      <c r="CJ23" s="29"/>
      <c r="CK23" s="67">
        <f>ROUND(VLOOKUP(AG23,'OSM - Rating and Score'!$C$8:$D$13,2,0)*CK$6,2)</f>
        <v>0.04</v>
      </c>
      <c r="CL23" s="29"/>
      <c r="CM23" s="67">
        <v>0</v>
      </c>
      <c r="CN23" s="29"/>
      <c r="CO23" s="67">
        <f>ROUND(VLOOKUP(AK23,'OSM - Rating and Score'!$C$8:$D$13,2,0)*CO$6,2)</f>
        <v>0.28000000000000003</v>
      </c>
      <c r="CP23" s="29"/>
      <c r="CQ23" s="67">
        <f>ROUND(VLOOKUP(AM23,'OSM - Rating and Score'!$C$47:$D$52,2,0)*CQ$6,2)</f>
        <v>0.1</v>
      </c>
      <c r="CR23" s="29"/>
      <c r="CS23" s="67">
        <f>ROUND(VLOOKUP(AO23,'OSM - Rating and Score'!$C$47:$D$52,2,0)*CS$6,2)</f>
        <v>0.15</v>
      </c>
      <c r="CT23" s="29"/>
      <c r="CU23" s="67">
        <f>ROUND(VLOOKUP(AQ23,'OSM - Rating and Score'!$C$47:$D$52,2,0)*CU$6,2)</f>
        <v>0.15</v>
      </c>
      <c r="CV23" s="29"/>
      <c r="CW23" s="67">
        <f>ROUND(VLOOKUP(AS23,'OSM - Rating and Score'!$C$47:$D$52,2,0)*CW$6,2)</f>
        <v>0.21</v>
      </c>
      <c r="CX23" s="29"/>
      <c r="CY23" s="67">
        <f>ROUND(VLOOKUP(AU23,'OSM - Rating and Score'!$C$65:$D$70,2,0)*CY$6,2)</f>
        <v>0.2</v>
      </c>
      <c r="CZ23" s="29"/>
      <c r="DA23" s="67">
        <f>ROUND(VLOOKUP(AW23,'OSM - Rating and Score'!$C$8:$D$13,2,0)*DA$6,2)</f>
        <v>0</v>
      </c>
      <c r="DB23" s="29"/>
      <c r="DC23" s="67">
        <f>ROUND(VLOOKUP(AY23,'OSM - Rating and Score'!$C$75:$D$80,2,0)*DC$6,2)</f>
        <v>0.15</v>
      </c>
      <c r="DD23" s="29"/>
    </row>
    <row r="24" spans="2:108" ht="2.75" customHeight="1" x14ac:dyDescent="0.45">
      <c r="B24" s="29"/>
      <c r="C24" s="31"/>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row>
    <row r="25" spans="2:108" x14ac:dyDescent="0.45">
      <c r="B25" s="29"/>
      <c r="C25" s="7">
        <v>9</v>
      </c>
      <c r="D25" s="29"/>
      <c r="E25" s="72" t="s">
        <v>366</v>
      </c>
      <c r="F25" s="29"/>
      <c r="G25" t="s">
        <v>368</v>
      </c>
      <c r="H25" s="29"/>
      <c r="J25" s="29"/>
      <c r="L25" s="29"/>
      <c r="M25" s="25" t="s">
        <v>367</v>
      </c>
      <c r="N25" s="29"/>
      <c r="P25" s="29"/>
      <c r="R25" s="29"/>
      <c r="T25" s="29"/>
      <c r="V25" s="29"/>
      <c r="W25" s="25"/>
      <c r="X25" s="31"/>
      <c r="Y25" s="25"/>
      <c r="Z25" s="31"/>
      <c r="AA25" s="26"/>
      <c r="AB25" s="31"/>
      <c r="AC25" s="27">
        <f>ROUND(Y25*(1+AA25)^5,0)</f>
        <v>0</v>
      </c>
      <c r="AD25" s="29"/>
      <c r="AF25" s="29"/>
      <c r="AH25" s="29"/>
      <c r="AI25" s="60"/>
      <c r="AJ25" s="29"/>
      <c r="AL25" s="29"/>
      <c r="AN25" s="29"/>
      <c r="AP25" s="29"/>
      <c r="AR25" s="29"/>
      <c r="AT25" s="29"/>
      <c r="AV25" s="29"/>
      <c r="AX25" s="29"/>
      <c r="AZ25" s="31"/>
      <c r="BA25" s="27" t="str">
        <f>IF(COUNTA(AY25,AW25,AU25,AS25,AQ25,AO25,AM25,AK25,AI25,AG25,AE25,AC25,AA25,Y25,W25,U25,S25,Q25,O25,K25,I25)=21,"✓","✗")</f>
        <v>✗</v>
      </c>
      <c r="BB25" s="31"/>
      <c r="BC25" s="69" t="str">
        <f>IFERROR(SUM(BM25:DC25),"")</f>
        <v/>
      </c>
      <c r="BD25" s="31"/>
      <c r="BE25" s="27" t="str">
        <f>IFERROR(LOOKUP(BC25,'OSM - Rating and Score'!$G$103:$I$108,'OSM - Rating and Score'!$C$103:$C$108),"")</f>
        <v/>
      </c>
      <c r="BF25" s="31"/>
      <c r="BG25" s="7" t="s">
        <v>369</v>
      </c>
      <c r="BH25" s="7"/>
      <c r="BI25" s="7"/>
      <c r="BJ25" s="7"/>
      <c r="BK25" s="7"/>
      <c r="BL25" s="29"/>
      <c r="BM25" s="67" t="e">
        <f>ROUND(VLOOKUP(I25,'OSM - Rating and Score'!$C$8:$D$13,2,0)*BM$6,2)</f>
        <v>#N/A</v>
      </c>
      <c r="BN25" s="29"/>
      <c r="BO25" s="67" t="e">
        <f>ROUND(VLOOKUP(K25,'OSM - Rating and Score'!$C$8:$D$13,2,0)*BO$6,2)</f>
        <v>#N/A</v>
      </c>
      <c r="BP25" s="29"/>
      <c r="BQ25" s="66"/>
      <c r="BR25" s="29"/>
      <c r="BS25" s="67" t="e">
        <f>ROUND(VLOOKUP(O25,'OSM - Rating and Score'!$C$17:$D$22,2,0)*BS$6,2)</f>
        <v>#N/A</v>
      </c>
      <c r="BT25" s="29"/>
      <c r="BU25" s="67" t="e">
        <f>ROUND(VLOOKUP(Q25,'OSM - Rating and Score'!$C$56:$D$61,2,0)*BU$6,2)</f>
        <v>#N/A</v>
      </c>
      <c r="BV25" s="29"/>
      <c r="BW25" s="67" t="e">
        <f>ROUND(VLOOKUP(S25,'OSM - Rating and Score'!$C$26:$D$31,2,0)*BW$6,2)</f>
        <v>#N/A</v>
      </c>
      <c r="BX25" s="29"/>
      <c r="BY25" s="67" t="e">
        <f>ROUND(VLOOKUP(U25,'OSM - Rating and Score'!$C$35:$D$40,2,0)*BY$6,2)</f>
        <v>#N/A</v>
      </c>
      <c r="BZ25" s="29"/>
      <c r="CA25" s="66"/>
      <c r="CB25" s="29"/>
      <c r="CC25" s="67">
        <f>ROUND(LOOKUP(Y25,'OSM - Rating and Score'!$G$85:$I$90,'OSM - Rating and Score'!$D$85:$D$90)*CC$6,2)</f>
        <v>0</v>
      </c>
      <c r="CD25" s="29"/>
      <c r="CE25" s="67">
        <f>ROUND(LOOKUP(AA25,'OSM - Rating and Score'!$G$113:$I$118,'OSM - Rating and Score'!$D$113:$D$118)*CE$6,2)</f>
        <v>0</v>
      </c>
      <c r="CF25" s="29"/>
      <c r="CG25" s="67">
        <f>ROUND(LOOKUP(AC25,'OSM - Rating and Score'!$G$94:$I$99,'OSM - Rating and Score'!$D$85:$D$90)*CG$6,2)</f>
        <v>0</v>
      </c>
      <c r="CH25" s="29"/>
      <c r="CI25" s="67" t="e">
        <f>ROUND(VLOOKUP(AE25,'OSM - Rating and Score'!$C$8:$D$13,2,0)*CI$6,2)</f>
        <v>#N/A</v>
      </c>
      <c r="CJ25" s="29"/>
      <c r="CK25" s="67" t="e">
        <f>ROUND(VLOOKUP(AG25,'OSM - Rating and Score'!$C$8:$D$13,2,0)*CK$6,2)</f>
        <v>#N/A</v>
      </c>
      <c r="CL25" s="29"/>
      <c r="CM25" s="67">
        <v>0</v>
      </c>
      <c r="CN25" s="29"/>
      <c r="CO25" s="67" t="e">
        <f>ROUND(VLOOKUP(AK25,'OSM - Rating and Score'!$C$8:$D$13,2,0)*CO$6,2)</f>
        <v>#N/A</v>
      </c>
      <c r="CP25" s="29"/>
      <c r="CQ25" s="67" t="e">
        <f>ROUND(VLOOKUP(AM25,'OSM - Rating and Score'!$C$47:$D$52,2,0)*CQ$6,2)</f>
        <v>#N/A</v>
      </c>
      <c r="CR25" s="29"/>
      <c r="CS25" s="67" t="e">
        <f>ROUND(VLOOKUP(AO25,'OSM - Rating and Score'!$C$47:$D$52,2,0)*CS$6,2)</f>
        <v>#N/A</v>
      </c>
      <c r="CT25" s="29"/>
      <c r="CU25" s="67" t="e">
        <f>ROUND(VLOOKUP(AQ25,'OSM - Rating and Score'!$C$47:$D$52,2,0)*CU$6,2)</f>
        <v>#N/A</v>
      </c>
      <c r="CV25" s="29"/>
      <c r="CW25" s="67" t="e">
        <f>ROUND(VLOOKUP(AS25,'OSM - Rating and Score'!$C$47:$D$52,2,0)*CW$6,2)</f>
        <v>#N/A</v>
      </c>
      <c r="CX25" s="29"/>
      <c r="CY25" s="67" t="e">
        <f>ROUND(VLOOKUP(AU25,'OSM - Rating and Score'!$C$65:$D$70,2,0)*CY$6,2)</f>
        <v>#N/A</v>
      </c>
      <c r="CZ25" s="29"/>
      <c r="DA25" s="67" t="e">
        <f>ROUND(VLOOKUP(AW25,'OSM - Rating and Score'!$C$8:$D$13,2,0)*DA$6,2)</f>
        <v>#N/A</v>
      </c>
      <c r="DB25" s="29"/>
      <c r="DC25" s="67" t="e">
        <f>ROUND(VLOOKUP(AY25,'OSM - Rating and Score'!$C$75:$D$80,2,0)*DC$6,2)</f>
        <v>#N/A</v>
      </c>
      <c r="DD25" s="29"/>
    </row>
    <row r="26" spans="2:108" ht="2.75" customHeight="1" x14ac:dyDescent="0.45">
      <c r="B26" s="29"/>
      <c r="C26" s="31"/>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row>
    <row r="27" spans="2:108" x14ac:dyDescent="0.45">
      <c r="B27" s="29"/>
      <c r="C27" s="7">
        <v>10</v>
      </c>
      <c r="D27" s="29"/>
      <c r="E27" t="s">
        <v>370</v>
      </c>
      <c r="F27" s="29"/>
      <c r="H27" s="29"/>
      <c r="I27" t="s">
        <v>83</v>
      </c>
      <c r="J27" s="29"/>
      <c r="K27" t="s">
        <v>85</v>
      </c>
      <c r="L27" s="29"/>
      <c r="M27" s="25"/>
      <c r="N27" s="29"/>
      <c r="O27" t="s">
        <v>114</v>
      </c>
      <c r="P27" s="29"/>
      <c r="Q27" t="s">
        <v>294</v>
      </c>
      <c r="R27" s="29"/>
      <c r="S27" t="s">
        <v>126</v>
      </c>
      <c r="T27" s="29"/>
      <c r="U27" t="s">
        <v>315</v>
      </c>
      <c r="V27" s="29"/>
      <c r="W27" s="25">
        <v>35</v>
      </c>
      <c r="X27" s="31"/>
      <c r="Y27" s="25">
        <v>4</v>
      </c>
      <c r="Z27" s="31"/>
      <c r="AA27" s="26">
        <v>0.1</v>
      </c>
      <c r="AB27" s="31"/>
      <c r="AC27" s="27">
        <f>ROUND(Y27*(1+AA27)^5,0)</f>
        <v>6</v>
      </c>
      <c r="AD27" s="29"/>
      <c r="AE27" t="s">
        <v>83</v>
      </c>
      <c r="AF27" s="29"/>
      <c r="AG27" t="s">
        <v>86</v>
      </c>
      <c r="AH27" s="29"/>
      <c r="AI27" s="60">
        <v>0</v>
      </c>
      <c r="AJ27" s="29"/>
      <c r="AK27" t="s">
        <v>83</v>
      </c>
      <c r="AL27" s="29"/>
      <c r="AM27" t="s">
        <v>148</v>
      </c>
      <c r="AN27" s="29"/>
      <c r="AO27" t="s">
        <v>148</v>
      </c>
      <c r="AP27" s="29"/>
      <c r="AQ27" t="s">
        <v>148</v>
      </c>
      <c r="AR27" s="29"/>
      <c r="AS27" t="s">
        <v>148</v>
      </c>
      <c r="AT27" s="29"/>
      <c r="AU27" t="s">
        <v>288</v>
      </c>
      <c r="AV27" s="29"/>
      <c r="AW27" t="s">
        <v>86</v>
      </c>
      <c r="AX27" s="29"/>
      <c r="AY27" t="s">
        <v>84</v>
      </c>
      <c r="AZ27" s="31"/>
      <c r="BA27" s="27" t="str">
        <f>IF(COUNTA(AY27,AW27,AU27,AS27,AQ27,AO27,AM27,AK27,AI27,AG27,AE27,AC27,AA27,Y27,W27,U27,S27,Q27,O27,K27,I27)=21,"✓","✗")</f>
        <v>✓</v>
      </c>
      <c r="BB27" s="31"/>
      <c r="BC27" s="69">
        <f>IFERROR(SUM(BM27:DC27),"")</f>
        <v>2.9000000000000004</v>
      </c>
      <c r="BD27" s="31"/>
      <c r="BE27" s="27" t="str">
        <f>IFERROR(LOOKUP(BC27,'OSM - Rating and Score'!$G$103:$I$108,'OSM - Rating and Score'!$C$103:$C$108),"")</f>
        <v>Moderate</v>
      </c>
      <c r="BF27" s="31"/>
      <c r="BG27" s="7"/>
      <c r="BH27" s="7"/>
      <c r="BI27" s="7"/>
      <c r="BJ27" s="7"/>
      <c r="BK27" s="7"/>
      <c r="BL27" s="29"/>
      <c r="BM27" s="67">
        <f>ROUND(VLOOKUP(I27,'OSM - Rating and Score'!$C$8:$D$13,2,0)*BM$6,2)</f>
        <v>0</v>
      </c>
      <c r="BN27" s="29"/>
      <c r="BO27" s="67">
        <f>ROUND(VLOOKUP(K27,'OSM - Rating and Score'!$C$8:$D$13,2,0)*BO$6,2)</f>
        <v>0.1</v>
      </c>
      <c r="BP27" s="29"/>
      <c r="BQ27" s="66"/>
      <c r="BR27" s="29"/>
      <c r="BS27" s="67">
        <f>ROUND(VLOOKUP(O27,'OSM - Rating and Score'!$C$17:$D$22,2,0)*BS$6,2)</f>
        <v>0.1</v>
      </c>
      <c r="BT27" s="29"/>
      <c r="BU27" s="67">
        <f>ROUND(VLOOKUP(Q27,'OSM - Rating and Score'!$C$56:$D$61,2,0)*BU$6,2)</f>
        <v>0.28000000000000003</v>
      </c>
      <c r="BV27" s="29"/>
      <c r="BW27" s="67">
        <f>ROUND(VLOOKUP(S27,'OSM - Rating and Score'!$C$26:$D$31,2,0)*BW$6,2)</f>
        <v>0.1</v>
      </c>
      <c r="BX27" s="29"/>
      <c r="BY27" s="67">
        <f>ROUND(VLOOKUP(U27,'OSM - Rating and Score'!$C$35:$D$40,2,0)*BY$6,2)</f>
        <v>0.21</v>
      </c>
      <c r="BZ27" s="29"/>
      <c r="CA27" s="66"/>
      <c r="CB27" s="29"/>
      <c r="CC27" s="67">
        <f>ROUND(LOOKUP(Y27,'OSM - Rating and Score'!$G$85:$I$90,'OSM - Rating and Score'!$D$85:$D$90)*CC$6,2)</f>
        <v>0.2</v>
      </c>
      <c r="CD27" s="29"/>
      <c r="CE27" s="67">
        <f>ROUND(LOOKUP(AA27,'OSM - Rating and Score'!$G$113:$I$118,'OSM - Rating and Score'!$D$113:$D$118)*CE$6,2)</f>
        <v>0.08</v>
      </c>
      <c r="CF27" s="29"/>
      <c r="CG27" s="67">
        <f>ROUND(LOOKUP(AC27,'OSM - Rating and Score'!$G$94:$I$99,'OSM - Rating and Score'!$D$85:$D$90)*CG$6,2)</f>
        <v>0.1</v>
      </c>
      <c r="CH27" s="29"/>
      <c r="CI27" s="67">
        <f>ROUND(VLOOKUP(AE27,'OSM - Rating and Score'!$C$8:$D$13,2,0)*CI$6,2)</f>
        <v>0.4</v>
      </c>
      <c r="CJ27" s="29"/>
      <c r="CK27" s="67">
        <f>ROUND(VLOOKUP(AG27,'OSM - Rating and Score'!$C$8:$D$13,2,0)*CK$6,2)</f>
        <v>0.04</v>
      </c>
      <c r="CL27" s="29"/>
      <c r="CM27" s="67">
        <v>0</v>
      </c>
      <c r="CN27" s="29"/>
      <c r="CO27" s="67">
        <f>ROUND(VLOOKUP(AK27,'OSM - Rating and Score'!$C$8:$D$13,2,0)*CO$6,2)</f>
        <v>0.28000000000000003</v>
      </c>
      <c r="CP27" s="29"/>
      <c r="CQ27" s="67">
        <f>ROUND(VLOOKUP(AM27,'OSM - Rating and Score'!$C$47:$D$52,2,0)*CQ$6,2)</f>
        <v>0.15</v>
      </c>
      <c r="CR27" s="29"/>
      <c r="CS27" s="67">
        <f>ROUND(VLOOKUP(AO27,'OSM - Rating and Score'!$C$47:$D$52,2,0)*CS$6,2)</f>
        <v>0.15</v>
      </c>
      <c r="CT27" s="29"/>
      <c r="CU27" s="67">
        <f>ROUND(VLOOKUP(AQ27,'OSM - Rating and Score'!$C$47:$D$52,2,0)*CU$6,2)</f>
        <v>0.15</v>
      </c>
      <c r="CV27" s="29"/>
      <c r="CW27" s="67">
        <f>ROUND(VLOOKUP(AS27,'OSM - Rating and Score'!$C$47:$D$52,2,0)*CW$6,2)</f>
        <v>0.21</v>
      </c>
      <c r="CX27" s="29"/>
      <c r="CY27" s="67">
        <f>ROUND(VLOOKUP(AU27,'OSM - Rating and Score'!$C$65:$D$70,2,0)*CY$6,2)</f>
        <v>0.2</v>
      </c>
      <c r="CZ27" s="29"/>
      <c r="DA27" s="67">
        <f>ROUND(VLOOKUP(AW27,'OSM - Rating and Score'!$C$8:$D$13,2,0)*DA$6,2)</f>
        <v>0</v>
      </c>
      <c r="DB27" s="29"/>
      <c r="DC27" s="67">
        <f>ROUND(VLOOKUP(AY27,'OSM - Rating and Score'!$C$75:$D$80,2,0)*DC$6,2)</f>
        <v>0.15</v>
      </c>
      <c r="DD27" s="29"/>
    </row>
    <row r="28" spans="2:108" ht="2.75" customHeight="1" x14ac:dyDescent="0.45">
      <c r="B28" s="29"/>
      <c r="C28" s="31"/>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row>
    <row r="29" spans="2:108" ht="57" x14ac:dyDescent="0.45">
      <c r="B29" s="29"/>
      <c r="C29" s="7">
        <v>11</v>
      </c>
      <c r="D29" s="29"/>
      <c r="E29" s="72" t="s">
        <v>371</v>
      </c>
      <c r="F29" s="29"/>
      <c r="H29" s="29"/>
      <c r="J29" s="29"/>
      <c r="L29" s="29"/>
      <c r="M29" s="25"/>
      <c r="N29" s="29"/>
      <c r="P29" s="29"/>
      <c r="R29" s="29"/>
      <c r="T29" s="29"/>
      <c r="V29" s="29"/>
      <c r="W29" s="25"/>
      <c r="X29" s="31"/>
      <c r="Y29" s="25"/>
      <c r="Z29" s="31"/>
      <c r="AA29" s="26"/>
      <c r="AB29" s="31"/>
      <c r="AC29" s="27">
        <f>ROUND(Y29*(1+AA29)^5,0)</f>
        <v>0</v>
      </c>
      <c r="AD29" s="29"/>
      <c r="AF29" s="29"/>
      <c r="AH29" s="29"/>
      <c r="AI29" s="60"/>
      <c r="AJ29" s="29"/>
      <c r="AL29" s="29"/>
      <c r="AN29" s="29"/>
      <c r="AP29" s="29"/>
      <c r="AR29" s="29"/>
      <c r="AT29" s="29"/>
      <c r="AV29" s="29"/>
      <c r="AX29" s="29"/>
      <c r="AZ29" s="31"/>
      <c r="BA29" s="27" t="str">
        <f>IF(COUNTA(AY29,AW29,AU29,AS29,AQ29,AO29,AM29,AK29,AI29,AG29,AE29,AC29,AA29,Y29,W29,U29,S29,Q29,O29,K29,I29)=21,"✓","✗")</f>
        <v>✗</v>
      </c>
      <c r="BB29" s="31"/>
      <c r="BC29" s="69" t="str">
        <f>IFERROR(SUM(BM29:DC29),"")</f>
        <v/>
      </c>
      <c r="BD29" s="31"/>
      <c r="BE29" s="27" t="str">
        <f>IFERROR(LOOKUP(BC29,'OSM - Rating and Score'!$G$103:$I$108,'OSM - Rating and Score'!$C$103:$C$108),"")</f>
        <v/>
      </c>
      <c r="BF29" s="31"/>
      <c r="BG29" s="70" t="s">
        <v>372</v>
      </c>
      <c r="BH29" s="7"/>
      <c r="BI29" s="7"/>
      <c r="BJ29" s="7"/>
      <c r="BK29" s="7"/>
      <c r="BL29" s="29"/>
      <c r="BM29" s="67" t="e">
        <f>ROUND(VLOOKUP(I29,'OSM - Rating and Score'!$C$8:$D$13,2,0)*BM$6,2)</f>
        <v>#N/A</v>
      </c>
      <c r="BN29" s="29"/>
      <c r="BO29" s="67" t="e">
        <f>ROUND(VLOOKUP(K29,'OSM - Rating and Score'!$C$8:$D$13,2,0)*BO$6,2)</f>
        <v>#N/A</v>
      </c>
      <c r="BP29" s="29"/>
      <c r="BQ29" s="66"/>
      <c r="BR29" s="29"/>
      <c r="BS29" s="67" t="e">
        <f>ROUND(VLOOKUP(O29,'OSM - Rating and Score'!$C$17:$D$22,2,0)*BS$6,2)</f>
        <v>#N/A</v>
      </c>
      <c r="BT29" s="29"/>
      <c r="BU29" s="67" t="e">
        <f>ROUND(VLOOKUP(Q29,'OSM - Rating and Score'!$C$56:$D$61,2,0)*BU$6,2)</f>
        <v>#N/A</v>
      </c>
      <c r="BV29" s="29"/>
      <c r="BW29" s="67" t="e">
        <f>ROUND(VLOOKUP(S29,'OSM - Rating and Score'!$C$26:$D$31,2,0)*BW$6,2)</f>
        <v>#N/A</v>
      </c>
      <c r="BX29" s="29"/>
      <c r="BY29" s="67" t="e">
        <f>ROUND(VLOOKUP(U29,'OSM - Rating and Score'!$C$35:$D$40,2,0)*BY$6,2)</f>
        <v>#N/A</v>
      </c>
      <c r="BZ29" s="29"/>
      <c r="CA29" s="66"/>
      <c r="CB29" s="29"/>
      <c r="CC29" s="67">
        <f>ROUND(LOOKUP(Y29,'OSM - Rating and Score'!$G$85:$I$90,'OSM - Rating and Score'!$D$85:$D$90)*CC$6,2)</f>
        <v>0</v>
      </c>
      <c r="CD29" s="29"/>
      <c r="CE29" s="67">
        <f>ROUND(LOOKUP(AA29,'OSM - Rating and Score'!$G$113:$I$118,'OSM - Rating and Score'!$D$113:$D$118)*CE$6,2)</f>
        <v>0</v>
      </c>
      <c r="CF29" s="29"/>
      <c r="CG29" s="67">
        <f>ROUND(LOOKUP(AC29,'OSM - Rating and Score'!$G$94:$I$99,'OSM - Rating and Score'!$D$85:$D$90)*CG$6,2)</f>
        <v>0</v>
      </c>
      <c r="CH29" s="29"/>
      <c r="CI29" s="67" t="e">
        <f>ROUND(VLOOKUP(AE29,'OSM - Rating and Score'!$C$8:$D$13,2,0)*CI$6,2)</f>
        <v>#N/A</v>
      </c>
      <c r="CJ29" s="29"/>
      <c r="CK29" s="67" t="e">
        <f>ROUND(VLOOKUP(AG29,'OSM - Rating and Score'!$C$8:$D$13,2,0)*CK$6,2)</f>
        <v>#N/A</v>
      </c>
      <c r="CL29" s="29"/>
      <c r="CM29" s="67">
        <v>0</v>
      </c>
      <c r="CN29" s="29"/>
      <c r="CO29" s="67" t="e">
        <f>ROUND(VLOOKUP(AK29,'OSM - Rating and Score'!$C$8:$D$13,2,0)*CO$6,2)</f>
        <v>#N/A</v>
      </c>
      <c r="CP29" s="29"/>
      <c r="CQ29" s="67" t="e">
        <f>ROUND(VLOOKUP(AM29,'OSM - Rating and Score'!$C$47:$D$52,2,0)*CQ$6,2)</f>
        <v>#N/A</v>
      </c>
      <c r="CR29" s="29"/>
      <c r="CS29" s="67" t="e">
        <f>ROUND(VLOOKUP(AO29,'OSM - Rating and Score'!$C$47:$D$52,2,0)*CS$6,2)</f>
        <v>#N/A</v>
      </c>
      <c r="CT29" s="29"/>
      <c r="CU29" s="67" t="e">
        <f>ROUND(VLOOKUP(AQ29,'OSM - Rating and Score'!$C$47:$D$52,2,0)*CU$6,2)</f>
        <v>#N/A</v>
      </c>
      <c r="CV29" s="29"/>
      <c r="CW29" s="67" t="e">
        <f>ROUND(VLOOKUP(AS29,'OSM - Rating and Score'!$C$47:$D$52,2,0)*CW$6,2)</f>
        <v>#N/A</v>
      </c>
      <c r="CX29" s="29"/>
      <c r="CY29" s="67" t="e">
        <f>ROUND(VLOOKUP(AU29,'OSM - Rating and Score'!$C$65:$D$70,2,0)*CY$6,2)</f>
        <v>#N/A</v>
      </c>
      <c r="CZ29" s="29"/>
      <c r="DA29" s="67" t="e">
        <f>ROUND(VLOOKUP(AW29,'OSM - Rating and Score'!$C$8:$D$13,2,0)*DA$6,2)</f>
        <v>#N/A</v>
      </c>
      <c r="DB29" s="29"/>
      <c r="DC29" s="67" t="e">
        <f>ROUND(VLOOKUP(AY29,'OSM - Rating and Score'!$C$75:$D$80,2,0)*DC$6,2)</f>
        <v>#N/A</v>
      </c>
      <c r="DD29" s="29"/>
    </row>
    <row r="30" spans="2:108" ht="2.75" customHeight="1" x14ac:dyDescent="0.45">
      <c r="B30" s="29"/>
      <c r="C30" s="31"/>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row>
    <row r="31" spans="2:108" x14ac:dyDescent="0.45">
      <c r="B31" s="29"/>
      <c r="C31" s="7">
        <v>12</v>
      </c>
      <c r="D31" s="29"/>
      <c r="E31" t="s">
        <v>373</v>
      </c>
      <c r="F31" s="29"/>
      <c r="H31" s="29"/>
      <c r="I31" t="s">
        <v>83</v>
      </c>
      <c r="J31" s="29"/>
      <c r="K31" t="s">
        <v>84</v>
      </c>
      <c r="L31" s="29"/>
      <c r="M31" s="25"/>
      <c r="N31" s="29"/>
      <c r="O31" t="s">
        <v>112</v>
      </c>
      <c r="P31" s="29"/>
      <c r="Q31" t="s">
        <v>298</v>
      </c>
      <c r="R31" s="29"/>
      <c r="S31" t="s">
        <v>124</v>
      </c>
      <c r="T31" s="29"/>
      <c r="U31" t="s">
        <v>315</v>
      </c>
      <c r="V31" s="29"/>
      <c r="W31" s="25">
        <v>250</v>
      </c>
      <c r="X31" s="31"/>
      <c r="Y31" s="25">
        <v>2</v>
      </c>
      <c r="Z31" s="31"/>
      <c r="AA31" s="26">
        <v>0.5</v>
      </c>
      <c r="AB31" s="31"/>
      <c r="AC31" s="27">
        <f>ROUND(Y31*(1+AA31)^5,0)</f>
        <v>15</v>
      </c>
      <c r="AD31" s="29"/>
      <c r="AE31" t="s">
        <v>84</v>
      </c>
      <c r="AF31" s="29"/>
      <c r="AG31" t="s">
        <v>86</v>
      </c>
      <c r="AH31" s="29"/>
      <c r="AI31" s="60"/>
      <c r="AJ31" s="29"/>
      <c r="AK31" t="s">
        <v>83</v>
      </c>
      <c r="AL31" s="29"/>
      <c r="AM31" t="s">
        <v>147</v>
      </c>
      <c r="AN31" s="29"/>
      <c r="AO31" t="s">
        <v>148</v>
      </c>
      <c r="AP31" s="29"/>
      <c r="AQ31" t="s">
        <v>148</v>
      </c>
      <c r="AR31" s="29"/>
      <c r="AS31" t="s">
        <v>148</v>
      </c>
      <c r="AT31" s="29"/>
      <c r="AU31" t="s">
        <v>228</v>
      </c>
      <c r="AV31" s="29"/>
      <c r="AW31" t="s">
        <v>84</v>
      </c>
      <c r="AX31" s="29"/>
      <c r="AY31" t="s">
        <v>216</v>
      </c>
      <c r="AZ31" s="31"/>
      <c r="BA31" s="27" t="str">
        <f>IF(COUNTA(AY31,AW31,AU31,AS31,AQ31,AO31,AM31,AK31,AI31,AG31,AE31,AC31,AA31,Y31,W31,U31,S31,Q31,O31,K31,I31)=21,"✓","✗")</f>
        <v>✗</v>
      </c>
      <c r="BB31" s="31"/>
      <c r="BC31" s="69">
        <f>IFERROR(SUM(BM31:DC31),"")</f>
        <v>3.23</v>
      </c>
      <c r="BD31" s="31"/>
      <c r="BE31" s="27" t="str">
        <f>IFERROR(LOOKUP(BC31,'OSM - Rating and Score'!$G$103:$I$108,'OSM - Rating and Score'!$C$103:$C$108),"")</f>
        <v>Moderate</v>
      </c>
      <c r="BF31" s="31"/>
      <c r="BG31" s="7"/>
      <c r="BH31" s="7"/>
      <c r="BI31" s="7"/>
      <c r="BJ31" s="7"/>
      <c r="BK31" s="7"/>
      <c r="BL31" s="29"/>
      <c r="BM31" s="67">
        <f>ROUND(VLOOKUP(I31,'OSM - Rating and Score'!$C$8:$D$13,2,0)*BM$6,2)</f>
        <v>0</v>
      </c>
      <c r="BN31" s="29"/>
      <c r="BO31" s="67">
        <f>ROUND(VLOOKUP(K31,'OSM - Rating and Score'!$C$8:$D$13,2,0)*BO$6,2)</f>
        <v>0.15</v>
      </c>
      <c r="BP31" s="29"/>
      <c r="BQ31" s="66"/>
      <c r="BR31" s="29"/>
      <c r="BS31" s="67">
        <f>ROUND(VLOOKUP(O31,'OSM - Rating and Score'!$C$17:$D$22,2,0)*BS$6,2)</f>
        <v>0.15</v>
      </c>
      <c r="BT31" s="29"/>
      <c r="BU31" s="67">
        <f>ROUND(VLOOKUP(Q31,'OSM - Rating and Score'!$C$56:$D$61,2,0)*BU$6,2)</f>
        <v>0.14000000000000001</v>
      </c>
      <c r="BV31" s="29"/>
      <c r="BW31" s="67">
        <f>ROUND(VLOOKUP(S31,'OSM - Rating and Score'!$C$26:$D$31,2,0)*BW$6,2)</f>
        <v>0.15</v>
      </c>
      <c r="BX31" s="29"/>
      <c r="BY31" s="67">
        <f>ROUND(VLOOKUP(U31,'OSM - Rating and Score'!$C$35:$D$40,2,0)*BY$6,2)</f>
        <v>0.21</v>
      </c>
      <c r="BZ31" s="29"/>
      <c r="CA31" s="66"/>
      <c r="CB31" s="29"/>
      <c r="CC31" s="67">
        <f>ROUND(LOOKUP(Y31,'OSM - Rating and Score'!$G$85:$I$90,'OSM - Rating and Score'!$D$85:$D$90)*CC$6,2)</f>
        <v>0.2</v>
      </c>
      <c r="CD31" s="29"/>
      <c r="CE31" s="67">
        <f>ROUND(LOOKUP(AA31,'OSM - Rating and Score'!$G$113:$I$118,'OSM - Rating and Score'!$D$113:$D$118)*CE$6,2)</f>
        <v>0.4</v>
      </c>
      <c r="CF31" s="29"/>
      <c r="CG31" s="67">
        <f>ROUND(LOOKUP(AC31,'OSM - Rating and Score'!$G$94:$I$99,'OSM - Rating and Score'!$D$85:$D$90)*CG$6,2)</f>
        <v>0.2</v>
      </c>
      <c r="CH31" s="29"/>
      <c r="CI31" s="67">
        <f>ROUND(VLOOKUP(AE31,'OSM - Rating and Score'!$C$8:$D$13,2,0)*CI$6,2)</f>
        <v>0.3</v>
      </c>
      <c r="CJ31" s="29"/>
      <c r="CK31" s="67">
        <f>ROUND(VLOOKUP(AG31,'OSM - Rating and Score'!$C$8:$D$13,2,0)*CK$6,2)</f>
        <v>0.04</v>
      </c>
      <c r="CL31" s="29"/>
      <c r="CM31" s="67">
        <v>0</v>
      </c>
      <c r="CN31" s="29"/>
      <c r="CO31" s="67">
        <f>ROUND(VLOOKUP(AK31,'OSM - Rating and Score'!$C$8:$D$13,2,0)*CO$6,2)</f>
        <v>0.28000000000000003</v>
      </c>
      <c r="CP31" s="29"/>
      <c r="CQ31" s="67">
        <f>ROUND(VLOOKUP(AM31,'OSM - Rating and Score'!$C$47:$D$52,2,0)*CQ$6,2)</f>
        <v>0.2</v>
      </c>
      <c r="CR31" s="29"/>
      <c r="CS31" s="67">
        <f>ROUND(VLOOKUP(AO31,'OSM - Rating and Score'!$C$47:$D$52,2,0)*CS$6,2)</f>
        <v>0.15</v>
      </c>
      <c r="CT31" s="29"/>
      <c r="CU31" s="67">
        <f>ROUND(VLOOKUP(AQ31,'OSM - Rating and Score'!$C$47:$D$52,2,0)*CU$6,2)</f>
        <v>0.15</v>
      </c>
      <c r="CV31" s="29"/>
      <c r="CW31" s="67">
        <f>ROUND(VLOOKUP(AS31,'OSM - Rating and Score'!$C$47:$D$52,2,0)*CW$6,2)</f>
        <v>0.21</v>
      </c>
      <c r="CX31" s="29"/>
      <c r="CY31" s="67">
        <f>ROUND(VLOOKUP(AU31,'OSM - Rating and Score'!$C$65:$D$70,2,0)*CY$6,2)</f>
        <v>0.1</v>
      </c>
      <c r="CZ31" s="29"/>
      <c r="DA31" s="67">
        <f>ROUND(VLOOKUP(AW31,'OSM - Rating and Score'!$C$8:$D$13,2,0)*DA$6,2)</f>
        <v>0</v>
      </c>
      <c r="DB31" s="29"/>
      <c r="DC31" s="67">
        <f>ROUND(VLOOKUP(AY31,'OSM - Rating and Score'!$C$75:$D$80,2,0)*DC$6,2)</f>
        <v>0.2</v>
      </c>
      <c r="DD31" s="29"/>
    </row>
    <row r="32" spans="2:108" ht="2.75" customHeight="1" x14ac:dyDescent="0.45">
      <c r="B32" s="29"/>
      <c r="C32" s="31"/>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row>
    <row r="33" spans="2:108" x14ac:dyDescent="0.45">
      <c r="B33" s="29"/>
      <c r="C33" s="7">
        <v>14</v>
      </c>
      <c r="D33" s="29"/>
      <c r="E33" t="s">
        <v>374</v>
      </c>
      <c r="F33" s="29"/>
      <c r="H33" s="29"/>
      <c r="I33" t="s">
        <v>83</v>
      </c>
      <c r="J33" s="29"/>
      <c r="K33" t="s">
        <v>84</v>
      </c>
      <c r="L33" s="29"/>
      <c r="M33" s="25"/>
      <c r="N33" s="29"/>
      <c r="O33" t="s">
        <v>114</v>
      </c>
      <c r="P33" s="29"/>
      <c r="Q33" t="s">
        <v>298</v>
      </c>
      <c r="R33" s="29"/>
      <c r="S33" t="s">
        <v>126</v>
      </c>
      <c r="T33" s="29"/>
      <c r="U33" t="s">
        <v>314</v>
      </c>
      <c r="V33" s="29"/>
      <c r="W33" s="25">
        <v>150</v>
      </c>
      <c r="X33" s="31"/>
      <c r="Y33" s="25">
        <v>2</v>
      </c>
      <c r="Z33" s="31"/>
      <c r="AA33" s="26">
        <v>0.4</v>
      </c>
      <c r="AB33" s="31"/>
      <c r="AC33" s="27">
        <f>ROUND(Y33*(1+AA33)^5,0)</f>
        <v>11</v>
      </c>
      <c r="AD33" s="29"/>
      <c r="AE33" t="s">
        <v>83</v>
      </c>
      <c r="AF33" s="29"/>
      <c r="AG33" t="s">
        <v>86</v>
      </c>
      <c r="AH33" s="29"/>
      <c r="AI33" s="60"/>
      <c r="AJ33" s="29"/>
      <c r="AK33" t="s">
        <v>85</v>
      </c>
      <c r="AL33" s="29"/>
      <c r="AM33" t="s">
        <v>148</v>
      </c>
      <c r="AN33" s="29"/>
      <c r="AO33" t="s">
        <v>148</v>
      </c>
      <c r="AP33" s="29"/>
      <c r="AQ33" t="s">
        <v>148</v>
      </c>
      <c r="AR33" s="29"/>
      <c r="AS33" t="s">
        <v>148</v>
      </c>
      <c r="AT33" s="29"/>
      <c r="AU33" t="s">
        <v>228</v>
      </c>
      <c r="AV33" s="29"/>
      <c r="AW33" t="s">
        <v>86</v>
      </c>
      <c r="AX33" s="29"/>
      <c r="AY33" t="s">
        <v>84</v>
      </c>
      <c r="AZ33" s="31"/>
      <c r="BA33" s="27" t="str">
        <f>IF(COUNTA(AY33,AW33,AU33,AS33,AQ33,AO33,AM33,AK33,AI33,AG33,AE33,AC33,AA33,Y33,W33,U33,S33,Q33,O33,K33,I33)=21,"✓","✗")</f>
        <v>✗</v>
      </c>
      <c r="BB33" s="31"/>
      <c r="BC33" s="69">
        <f>IFERROR(SUM(BM33:DC33),"")</f>
        <v>2.88</v>
      </c>
      <c r="BD33" s="31"/>
      <c r="BE33" s="27" t="str">
        <f>IFERROR(LOOKUP(BC33,'OSM - Rating and Score'!$G$103:$I$108,'OSM - Rating and Score'!$C$103:$C$108),"")</f>
        <v>Moderate</v>
      </c>
      <c r="BF33" s="31"/>
      <c r="BG33" s="7" t="s">
        <v>383</v>
      </c>
      <c r="BH33" s="7"/>
      <c r="BI33" s="7"/>
      <c r="BJ33" s="7"/>
      <c r="BK33" s="7"/>
      <c r="BL33" s="29"/>
      <c r="BM33" s="67">
        <f>ROUND(VLOOKUP(I33,'OSM - Rating and Score'!$C$8:$D$13,2,0)*BM$6,2)</f>
        <v>0</v>
      </c>
      <c r="BN33" s="29"/>
      <c r="BO33" s="67">
        <f>ROUND(VLOOKUP(K33,'OSM - Rating and Score'!$C$8:$D$13,2,0)*BO$6,2)</f>
        <v>0.15</v>
      </c>
      <c r="BP33" s="29"/>
      <c r="BQ33" s="66"/>
      <c r="BR33" s="29"/>
      <c r="BS33" s="67">
        <f>ROUND(VLOOKUP(O33,'OSM - Rating and Score'!$C$17:$D$22,2,0)*BS$6,2)</f>
        <v>0.1</v>
      </c>
      <c r="BT33" s="29"/>
      <c r="BU33" s="67">
        <f>ROUND(VLOOKUP(Q33,'OSM - Rating and Score'!$C$56:$D$61,2,0)*BU$6,2)</f>
        <v>0.14000000000000001</v>
      </c>
      <c r="BV33" s="29"/>
      <c r="BW33" s="67">
        <f>ROUND(VLOOKUP(S33,'OSM - Rating and Score'!$C$26:$D$31,2,0)*BW$6,2)</f>
        <v>0.1</v>
      </c>
      <c r="BX33" s="29"/>
      <c r="BY33" s="67">
        <f>ROUND(VLOOKUP(U33,'OSM - Rating and Score'!$C$35:$D$40,2,0)*BY$6,2)</f>
        <v>0.28000000000000003</v>
      </c>
      <c r="BZ33" s="29"/>
      <c r="CA33" s="66"/>
      <c r="CB33" s="29"/>
      <c r="CC33" s="67">
        <f>ROUND(LOOKUP(Y33,'OSM - Rating and Score'!$G$85:$I$90,'OSM - Rating and Score'!$D$85:$D$90)*CC$6,2)</f>
        <v>0.2</v>
      </c>
      <c r="CD33" s="29"/>
      <c r="CE33" s="67">
        <f>ROUND(LOOKUP(AA33,'OSM - Rating and Score'!$G$113:$I$118,'OSM - Rating and Score'!$D$113:$D$118)*CE$6,2)</f>
        <v>0.32</v>
      </c>
      <c r="CF33" s="29"/>
      <c r="CG33" s="67">
        <f>ROUND(LOOKUP(AC33,'OSM - Rating and Score'!$G$94:$I$99,'OSM - Rating and Score'!$D$85:$D$90)*CG$6,2)</f>
        <v>0.1</v>
      </c>
      <c r="CH33" s="29"/>
      <c r="CI33" s="67">
        <f>ROUND(VLOOKUP(AE33,'OSM - Rating and Score'!$C$8:$D$13,2,0)*CI$6,2)</f>
        <v>0.4</v>
      </c>
      <c r="CJ33" s="29"/>
      <c r="CK33" s="67">
        <f>ROUND(VLOOKUP(AG33,'OSM - Rating and Score'!$C$8:$D$13,2,0)*CK$6,2)</f>
        <v>0.04</v>
      </c>
      <c r="CL33" s="29"/>
      <c r="CM33" s="67">
        <v>0</v>
      </c>
      <c r="CN33" s="29"/>
      <c r="CO33" s="67">
        <f>ROUND(VLOOKUP(AK33,'OSM - Rating and Score'!$C$8:$D$13,2,0)*CO$6,2)</f>
        <v>0.14000000000000001</v>
      </c>
      <c r="CP33" s="29"/>
      <c r="CQ33" s="67">
        <f>ROUND(VLOOKUP(AM33,'OSM - Rating and Score'!$C$47:$D$52,2,0)*CQ$6,2)</f>
        <v>0.15</v>
      </c>
      <c r="CR33" s="29"/>
      <c r="CS33" s="67">
        <f>ROUND(VLOOKUP(AO33,'OSM - Rating and Score'!$C$47:$D$52,2,0)*CS$6,2)</f>
        <v>0.15</v>
      </c>
      <c r="CT33" s="29"/>
      <c r="CU33" s="67">
        <f>ROUND(VLOOKUP(AQ33,'OSM - Rating and Score'!$C$47:$D$52,2,0)*CU$6,2)</f>
        <v>0.15</v>
      </c>
      <c r="CV33" s="29"/>
      <c r="CW33" s="67">
        <f>ROUND(VLOOKUP(AS33,'OSM - Rating and Score'!$C$47:$D$52,2,0)*CW$6,2)</f>
        <v>0.21</v>
      </c>
      <c r="CX33" s="29"/>
      <c r="CY33" s="67">
        <f>ROUND(VLOOKUP(AU33,'OSM - Rating and Score'!$C$65:$D$70,2,0)*CY$6,2)</f>
        <v>0.1</v>
      </c>
      <c r="CZ33" s="29"/>
      <c r="DA33" s="67">
        <f>ROUND(VLOOKUP(AW33,'OSM - Rating and Score'!$C$8:$D$13,2,0)*DA$6,2)</f>
        <v>0</v>
      </c>
      <c r="DB33" s="29"/>
      <c r="DC33" s="67">
        <f>ROUND(VLOOKUP(AY33,'OSM - Rating and Score'!$C$75:$D$80,2,0)*DC$6,2)</f>
        <v>0.15</v>
      </c>
      <c r="DD33" s="29"/>
    </row>
    <row r="34" spans="2:108" ht="2.75" customHeight="1" x14ac:dyDescent="0.45">
      <c r="B34" s="29"/>
      <c r="C34" s="31"/>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row>
    <row r="35" spans="2:108" x14ac:dyDescent="0.45">
      <c r="B35" s="29"/>
      <c r="C35" s="7">
        <v>15</v>
      </c>
      <c r="D35" s="29"/>
      <c r="E35" t="s">
        <v>375</v>
      </c>
      <c r="F35" s="29"/>
      <c r="H35" s="29"/>
      <c r="I35" t="s">
        <v>83</v>
      </c>
      <c r="J35" s="29"/>
      <c r="K35" t="s">
        <v>84</v>
      </c>
      <c r="L35" s="29"/>
      <c r="M35" s="25"/>
      <c r="N35" s="29"/>
      <c r="O35" t="s">
        <v>112</v>
      </c>
      <c r="P35" s="29"/>
      <c r="Q35" t="s">
        <v>298</v>
      </c>
      <c r="R35" s="29"/>
      <c r="S35" t="s">
        <v>126</v>
      </c>
      <c r="T35" s="29"/>
      <c r="U35" t="s">
        <v>315</v>
      </c>
      <c r="V35" s="29"/>
      <c r="W35" s="25">
        <v>160</v>
      </c>
      <c r="X35" s="31"/>
      <c r="Y35" s="25">
        <v>2</v>
      </c>
      <c r="Z35" s="31"/>
      <c r="AA35" s="26">
        <v>0.5</v>
      </c>
      <c r="AB35" s="31"/>
      <c r="AC35" s="27">
        <f>ROUND(Y35*(1+AA35)^5,0)</f>
        <v>15</v>
      </c>
      <c r="AD35" s="29"/>
      <c r="AE35" t="s">
        <v>83</v>
      </c>
      <c r="AF35" s="29"/>
      <c r="AG35" t="s">
        <v>86</v>
      </c>
      <c r="AH35" s="29"/>
      <c r="AI35" s="60"/>
      <c r="AJ35" s="29"/>
      <c r="AK35" t="s">
        <v>84</v>
      </c>
      <c r="AL35" s="29"/>
      <c r="AM35" t="s">
        <v>149</v>
      </c>
      <c r="AN35" s="29"/>
      <c r="AO35" t="s">
        <v>148</v>
      </c>
      <c r="AP35" s="29"/>
      <c r="AQ35" t="s">
        <v>148</v>
      </c>
      <c r="AR35" s="29"/>
      <c r="AS35" t="s">
        <v>149</v>
      </c>
      <c r="AT35" s="29"/>
      <c r="AU35" t="s">
        <v>148</v>
      </c>
      <c r="AV35" s="29"/>
      <c r="AW35" t="s">
        <v>86</v>
      </c>
      <c r="AX35" s="29"/>
      <c r="AY35" t="s">
        <v>84</v>
      </c>
      <c r="AZ35" s="31"/>
      <c r="BA35" s="27" t="str">
        <f>IF(COUNTA(AY35,AW35,AU35,AS35,AQ35,AO35,AM35,AK35,AI35,AG35,AE35,AC35,AA35,Y35,W35,U35,S35,Q35,O35,K35,I35)=21,"✓","✗")</f>
        <v>✗</v>
      </c>
      <c r="BB35" s="31"/>
      <c r="BC35" s="69">
        <f>IFERROR(SUM(BM35:DC35),"")</f>
        <v>3.04</v>
      </c>
      <c r="BD35" s="31"/>
      <c r="BE35" s="27" t="str">
        <f>IFERROR(LOOKUP(BC35,'OSM - Rating and Score'!$G$103:$I$108,'OSM - Rating and Score'!$C$103:$C$108),"")</f>
        <v>Moderate</v>
      </c>
      <c r="BF35" s="31"/>
      <c r="BG35" s="7" t="s">
        <v>376</v>
      </c>
      <c r="BH35" s="7"/>
      <c r="BI35" s="7"/>
      <c r="BJ35" s="7"/>
      <c r="BK35" s="7"/>
      <c r="BL35" s="29"/>
      <c r="BM35" s="67">
        <f>ROUND(VLOOKUP(I35,'OSM - Rating and Score'!$C$8:$D$13,2,0)*BM$6,2)</f>
        <v>0</v>
      </c>
      <c r="BN35" s="29"/>
      <c r="BO35" s="67">
        <f>ROUND(VLOOKUP(K35,'OSM - Rating and Score'!$C$8:$D$13,2,0)*BO$6,2)</f>
        <v>0.15</v>
      </c>
      <c r="BP35" s="29"/>
      <c r="BQ35" s="66"/>
      <c r="BR35" s="29"/>
      <c r="BS35" s="67">
        <f>ROUND(VLOOKUP(O35,'OSM - Rating and Score'!$C$17:$D$22,2,0)*BS$6,2)</f>
        <v>0.15</v>
      </c>
      <c r="BT35" s="29"/>
      <c r="BU35" s="67">
        <f>ROUND(VLOOKUP(Q35,'OSM - Rating and Score'!$C$56:$D$61,2,0)*BU$6,2)</f>
        <v>0.14000000000000001</v>
      </c>
      <c r="BV35" s="29"/>
      <c r="BW35" s="67">
        <f>ROUND(VLOOKUP(S35,'OSM - Rating and Score'!$C$26:$D$31,2,0)*BW$6,2)</f>
        <v>0.1</v>
      </c>
      <c r="BX35" s="29"/>
      <c r="BY35" s="67">
        <f>ROUND(VLOOKUP(U35,'OSM - Rating and Score'!$C$35:$D$40,2,0)*BY$6,2)</f>
        <v>0.21</v>
      </c>
      <c r="BZ35" s="29"/>
      <c r="CA35" s="66"/>
      <c r="CB35" s="29"/>
      <c r="CC35" s="67">
        <f>ROUND(LOOKUP(Y35,'OSM - Rating and Score'!$G$85:$I$90,'OSM - Rating and Score'!$D$85:$D$90)*CC$6,2)</f>
        <v>0.2</v>
      </c>
      <c r="CD35" s="29"/>
      <c r="CE35" s="67">
        <f>ROUND(LOOKUP(AA35,'OSM - Rating and Score'!$G$113:$I$118,'OSM - Rating and Score'!$D$113:$D$118)*CE$6,2)</f>
        <v>0.4</v>
      </c>
      <c r="CF35" s="29"/>
      <c r="CG35" s="67">
        <f>ROUND(LOOKUP(AC35,'OSM - Rating and Score'!$G$94:$I$99,'OSM - Rating and Score'!$D$85:$D$90)*CG$6,2)</f>
        <v>0.2</v>
      </c>
      <c r="CH35" s="29"/>
      <c r="CI35" s="67">
        <f>ROUND(VLOOKUP(AE35,'OSM - Rating and Score'!$C$8:$D$13,2,0)*CI$6,2)</f>
        <v>0.4</v>
      </c>
      <c r="CJ35" s="29"/>
      <c r="CK35" s="67">
        <f>ROUND(VLOOKUP(AG35,'OSM - Rating and Score'!$C$8:$D$13,2,0)*CK$6,2)</f>
        <v>0.04</v>
      </c>
      <c r="CL35" s="29"/>
      <c r="CM35" s="67">
        <v>0</v>
      </c>
      <c r="CN35" s="29"/>
      <c r="CO35" s="67">
        <f>ROUND(VLOOKUP(AK35,'OSM - Rating and Score'!$C$8:$D$13,2,0)*CO$6,2)</f>
        <v>0.21</v>
      </c>
      <c r="CP35" s="29"/>
      <c r="CQ35" s="67">
        <f>ROUND(VLOOKUP(AM35,'OSM - Rating and Score'!$C$47:$D$52,2,0)*CQ$6,2)</f>
        <v>0.1</v>
      </c>
      <c r="CR35" s="29"/>
      <c r="CS35" s="67">
        <f>ROUND(VLOOKUP(AO35,'OSM - Rating and Score'!$C$47:$D$52,2,0)*CS$6,2)</f>
        <v>0.15</v>
      </c>
      <c r="CT35" s="29"/>
      <c r="CU35" s="67">
        <f>ROUND(VLOOKUP(AQ35,'OSM - Rating and Score'!$C$47:$D$52,2,0)*CU$6,2)</f>
        <v>0.15</v>
      </c>
      <c r="CV35" s="29"/>
      <c r="CW35" s="67">
        <f>ROUND(VLOOKUP(AS35,'OSM - Rating and Score'!$C$47:$D$52,2,0)*CW$6,2)</f>
        <v>0.14000000000000001</v>
      </c>
      <c r="CX35" s="29"/>
      <c r="CY35" s="67">
        <f>ROUND(VLOOKUP(AU35,'OSM - Rating and Score'!$C$65:$D$70,2,0)*CY$6,2)</f>
        <v>0.15</v>
      </c>
      <c r="CZ35" s="29"/>
      <c r="DA35" s="67">
        <f>ROUND(VLOOKUP(AW35,'OSM - Rating and Score'!$C$8:$D$13,2,0)*DA$6,2)</f>
        <v>0</v>
      </c>
      <c r="DB35" s="29"/>
      <c r="DC35" s="67">
        <f>ROUND(VLOOKUP(AY35,'OSM - Rating and Score'!$C$75:$D$80,2,0)*DC$6,2)</f>
        <v>0.15</v>
      </c>
      <c r="DD35" s="29"/>
    </row>
    <row r="36" spans="2:108" ht="2.75" customHeight="1" x14ac:dyDescent="0.45">
      <c r="B36" s="29"/>
      <c r="C36" s="31"/>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row>
    <row r="37" spans="2:108" x14ac:dyDescent="0.45">
      <c r="B37" s="29"/>
      <c r="C37" s="7">
        <v>16</v>
      </c>
      <c r="D37" s="29"/>
      <c r="E37" t="s">
        <v>377</v>
      </c>
      <c r="F37" s="29"/>
      <c r="H37" s="29"/>
      <c r="I37" t="s">
        <v>84</v>
      </c>
      <c r="J37" s="29"/>
      <c r="K37" t="s">
        <v>84</v>
      </c>
      <c r="L37" s="29"/>
      <c r="M37" s="25"/>
      <c r="N37" s="29"/>
      <c r="O37" t="s">
        <v>112</v>
      </c>
      <c r="P37" s="29"/>
      <c r="Q37" t="s">
        <v>298</v>
      </c>
      <c r="R37" s="29"/>
      <c r="S37" t="s">
        <v>126</v>
      </c>
      <c r="T37" s="29"/>
      <c r="U37" t="s">
        <v>315</v>
      </c>
      <c r="V37" s="29"/>
      <c r="W37" s="25">
        <v>100</v>
      </c>
      <c r="X37" s="31"/>
      <c r="Y37" s="25">
        <v>1</v>
      </c>
      <c r="Z37" s="31"/>
      <c r="AA37" s="26">
        <v>0.2</v>
      </c>
      <c r="AB37" s="31"/>
      <c r="AC37" s="27">
        <f>ROUND(Y37*(1+AA37)^5,0)</f>
        <v>2</v>
      </c>
      <c r="AD37" s="29"/>
      <c r="AE37" t="s">
        <v>84</v>
      </c>
      <c r="AF37" s="29"/>
      <c r="AG37" t="s">
        <v>86</v>
      </c>
      <c r="AH37" s="29"/>
      <c r="AI37" s="60"/>
      <c r="AJ37" s="29"/>
      <c r="AK37" t="s">
        <v>84</v>
      </c>
      <c r="AL37" s="29"/>
      <c r="AM37" t="s">
        <v>148</v>
      </c>
      <c r="AN37" s="29"/>
      <c r="AO37" t="s">
        <v>148</v>
      </c>
      <c r="AP37" s="29"/>
      <c r="AQ37" t="s">
        <v>147</v>
      </c>
      <c r="AR37" s="29"/>
      <c r="AS37" t="s">
        <v>147</v>
      </c>
      <c r="AT37" s="29"/>
      <c r="AU37" t="s">
        <v>148</v>
      </c>
      <c r="AV37" s="29"/>
      <c r="AW37" t="s">
        <v>86</v>
      </c>
      <c r="AX37" s="29"/>
      <c r="AY37" t="s">
        <v>216</v>
      </c>
      <c r="AZ37" s="31"/>
      <c r="BA37" s="27" t="str">
        <f>IF(COUNTA(AY37,AW37,AU37,AS37,AQ37,AO37,AM37,AK37,AI37,AG37,AE37,AC37,AA37,Y37,W37,U37,S37,Q37,O37,K37,I37)=21,"✓","✗")</f>
        <v>✗</v>
      </c>
      <c r="BB37" s="31"/>
      <c r="BC37" s="69">
        <f>IFERROR(SUM(BM37:DC37),"")</f>
        <v>2.7899999999999996</v>
      </c>
      <c r="BD37" s="31"/>
      <c r="BE37" s="27" t="str">
        <f>IFERROR(LOOKUP(BC37,'OSM - Rating and Score'!$G$103:$I$108,'OSM - Rating and Score'!$C$103:$C$108),"")</f>
        <v>Moderate</v>
      </c>
      <c r="BF37" s="31"/>
      <c r="BG37" s="7" t="s">
        <v>378</v>
      </c>
      <c r="BH37" s="7"/>
      <c r="BI37" s="7"/>
      <c r="BJ37" s="7"/>
      <c r="BK37" s="7"/>
      <c r="BL37" s="29"/>
      <c r="BM37" s="67">
        <f>ROUND(VLOOKUP(I37,'OSM - Rating and Score'!$C$8:$D$13,2,0)*BM$6,2)</f>
        <v>0</v>
      </c>
      <c r="BN37" s="29"/>
      <c r="BO37" s="67">
        <f>ROUND(VLOOKUP(K37,'OSM - Rating and Score'!$C$8:$D$13,2,0)*BO$6,2)</f>
        <v>0.15</v>
      </c>
      <c r="BP37" s="29"/>
      <c r="BQ37" s="66"/>
      <c r="BR37" s="29"/>
      <c r="BS37" s="67">
        <f>ROUND(VLOOKUP(O37,'OSM - Rating and Score'!$C$17:$D$22,2,0)*BS$6,2)</f>
        <v>0.15</v>
      </c>
      <c r="BT37" s="29"/>
      <c r="BU37" s="67">
        <f>ROUND(VLOOKUP(Q37,'OSM - Rating and Score'!$C$56:$D$61,2,0)*BU$6,2)</f>
        <v>0.14000000000000001</v>
      </c>
      <c r="BV37" s="29"/>
      <c r="BW37" s="67">
        <f>ROUND(VLOOKUP(S37,'OSM - Rating and Score'!$C$26:$D$31,2,0)*BW$6,2)</f>
        <v>0.1</v>
      </c>
      <c r="BX37" s="29"/>
      <c r="BY37" s="67">
        <f>ROUND(VLOOKUP(U37,'OSM - Rating and Score'!$C$35:$D$40,2,0)*BY$6,2)</f>
        <v>0.21</v>
      </c>
      <c r="BZ37" s="29"/>
      <c r="CA37" s="66"/>
      <c r="CB37" s="29"/>
      <c r="CC37" s="67">
        <f>ROUND(LOOKUP(Y37,'OSM - Rating and Score'!$G$85:$I$90,'OSM - Rating and Score'!$D$85:$D$90)*CC$6,2)</f>
        <v>0.2</v>
      </c>
      <c r="CD37" s="29"/>
      <c r="CE37" s="67">
        <f>ROUND(LOOKUP(AA37,'OSM - Rating and Score'!$G$113:$I$118,'OSM - Rating and Score'!$D$113:$D$118)*CE$6,2)</f>
        <v>0.16</v>
      </c>
      <c r="CF37" s="29"/>
      <c r="CG37" s="67">
        <f>ROUND(LOOKUP(AC37,'OSM - Rating and Score'!$G$94:$I$99,'OSM - Rating and Score'!$D$85:$D$90)*CG$6,2)</f>
        <v>0</v>
      </c>
      <c r="CH37" s="29"/>
      <c r="CI37" s="67">
        <f>ROUND(VLOOKUP(AE37,'OSM - Rating and Score'!$C$8:$D$13,2,0)*CI$6,2)</f>
        <v>0.3</v>
      </c>
      <c r="CJ37" s="29"/>
      <c r="CK37" s="67">
        <f>ROUND(VLOOKUP(AG37,'OSM - Rating and Score'!$C$8:$D$13,2,0)*CK$6,2)</f>
        <v>0.04</v>
      </c>
      <c r="CL37" s="29"/>
      <c r="CM37" s="67">
        <v>0</v>
      </c>
      <c r="CN37" s="29"/>
      <c r="CO37" s="67">
        <f>ROUND(VLOOKUP(AK37,'OSM - Rating and Score'!$C$8:$D$13,2,0)*CO$6,2)</f>
        <v>0.21</v>
      </c>
      <c r="CP37" s="29"/>
      <c r="CQ37" s="67">
        <f>ROUND(VLOOKUP(AM37,'OSM - Rating and Score'!$C$47:$D$52,2,0)*CQ$6,2)</f>
        <v>0.15</v>
      </c>
      <c r="CR37" s="29"/>
      <c r="CS37" s="67">
        <f>ROUND(VLOOKUP(AO37,'OSM - Rating and Score'!$C$47:$D$52,2,0)*CS$6,2)</f>
        <v>0.15</v>
      </c>
      <c r="CT37" s="29"/>
      <c r="CU37" s="67">
        <f>ROUND(VLOOKUP(AQ37,'OSM - Rating and Score'!$C$47:$D$52,2,0)*CU$6,2)</f>
        <v>0.2</v>
      </c>
      <c r="CV37" s="29"/>
      <c r="CW37" s="67">
        <f>ROUND(VLOOKUP(AS37,'OSM - Rating and Score'!$C$47:$D$52,2,0)*CW$6,2)</f>
        <v>0.28000000000000003</v>
      </c>
      <c r="CX37" s="29"/>
      <c r="CY37" s="67">
        <f>ROUND(VLOOKUP(AU37,'OSM - Rating and Score'!$C$65:$D$70,2,0)*CY$6,2)</f>
        <v>0.15</v>
      </c>
      <c r="CZ37" s="29"/>
      <c r="DA37" s="67">
        <f>ROUND(VLOOKUP(AW37,'OSM - Rating and Score'!$C$8:$D$13,2,0)*DA$6,2)</f>
        <v>0</v>
      </c>
      <c r="DB37" s="29"/>
      <c r="DC37" s="67">
        <f>ROUND(VLOOKUP(AY37,'OSM - Rating and Score'!$C$75:$D$80,2,0)*DC$6,2)</f>
        <v>0.2</v>
      </c>
      <c r="DD37" s="29"/>
    </row>
    <row r="38" spans="2:108" ht="2.75" customHeight="1" x14ac:dyDescent="0.45">
      <c r="B38" s="29"/>
      <c r="C38" s="31"/>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row>
    <row r="39" spans="2:108" x14ac:dyDescent="0.45">
      <c r="B39" s="29"/>
      <c r="C39" s="7">
        <v>17</v>
      </c>
      <c r="D39" s="29"/>
      <c r="E39" t="s">
        <v>379</v>
      </c>
      <c r="F39" s="29"/>
      <c r="H39" s="29"/>
      <c r="I39" t="s">
        <v>83</v>
      </c>
      <c r="J39" s="29"/>
      <c r="K39" t="s">
        <v>84</v>
      </c>
      <c r="L39" s="29"/>
      <c r="M39" s="25"/>
      <c r="N39" s="29"/>
      <c r="O39" t="s">
        <v>112</v>
      </c>
      <c r="P39" s="29"/>
      <c r="Q39" t="s">
        <v>298</v>
      </c>
      <c r="R39" s="29"/>
      <c r="S39" t="s">
        <v>126</v>
      </c>
      <c r="T39" s="29"/>
      <c r="U39" t="s">
        <v>315</v>
      </c>
      <c r="V39" s="29"/>
      <c r="W39" s="25">
        <v>300</v>
      </c>
      <c r="X39" s="31"/>
      <c r="Y39" s="25">
        <v>3</v>
      </c>
      <c r="Z39" s="31"/>
      <c r="AA39" s="26">
        <v>0.4</v>
      </c>
      <c r="AB39" s="31"/>
      <c r="AC39" s="27">
        <f>ROUND(Y39*(1+AA39)^5,0)</f>
        <v>16</v>
      </c>
      <c r="AD39" s="29"/>
      <c r="AE39" t="s">
        <v>83</v>
      </c>
      <c r="AF39" s="29"/>
      <c r="AG39" t="s">
        <v>86</v>
      </c>
      <c r="AH39" s="29"/>
      <c r="AI39" s="60"/>
      <c r="AJ39" s="29"/>
      <c r="AK39" t="s">
        <v>84</v>
      </c>
      <c r="AL39" s="29"/>
      <c r="AM39" t="s">
        <v>148</v>
      </c>
      <c r="AN39" s="29"/>
      <c r="AO39" t="s">
        <v>148</v>
      </c>
      <c r="AP39" s="29"/>
      <c r="AQ39" t="s">
        <v>147</v>
      </c>
      <c r="AR39" s="29"/>
      <c r="AS39" t="s">
        <v>148</v>
      </c>
      <c r="AT39" s="29"/>
      <c r="AU39" t="s">
        <v>288</v>
      </c>
      <c r="AV39" s="29"/>
      <c r="AW39" t="s">
        <v>85</v>
      </c>
      <c r="AX39" s="29"/>
      <c r="AY39" t="s">
        <v>84</v>
      </c>
      <c r="AZ39" s="31"/>
      <c r="BA39" s="27" t="str">
        <f>IF(COUNTA(AY39,AW39,AU39,AS39,AQ39,AO39,AM39,AK39,AI39,AG39,AE39,AC39,AA39,Y39,W39,U39,S39,Q39,O39,K39,I39)=21,"✓","✗")</f>
        <v>✗</v>
      </c>
      <c r="BB39" s="31"/>
      <c r="BC39" s="69">
        <f>IFERROR(SUM(BM39:DC39),"")</f>
        <v>3.18</v>
      </c>
      <c r="BD39" s="31"/>
      <c r="BE39" s="27" t="str">
        <f>IFERROR(LOOKUP(BC39,'OSM - Rating and Score'!$G$103:$I$108,'OSM - Rating and Score'!$C$103:$C$108),"")</f>
        <v>Moderate</v>
      </c>
      <c r="BF39" s="31"/>
      <c r="BG39" s="7"/>
      <c r="BH39" s="7"/>
      <c r="BI39" s="7"/>
      <c r="BJ39" s="7"/>
      <c r="BK39" s="7"/>
      <c r="BL39" s="29"/>
      <c r="BM39" s="67">
        <f>ROUND(VLOOKUP(I39,'OSM - Rating and Score'!$C$8:$D$13,2,0)*BM$6,2)</f>
        <v>0</v>
      </c>
      <c r="BN39" s="29"/>
      <c r="BO39" s="67">
        <f>ROUND(VLOOKUP(K39,'OSM - Rating and Score'!$C$8:$D$13,2,0)*BO$6,2)</f>
        <v>0.15</v>
      </c>
      <c r="BP39" s="29"/>
      <c r="BQ39" s="66"/>
      <c r="BR39" s="29"/>
      <c r="BS39" s="67">
        <f>ROUND(VLOOKUP(O39,'OSM - Rating and Score'!$C$17:$D$22,2,0)*BS$6,2)</f>
        <v>0.15</v>
      </c>
      <c r="BT39" s="29"/>
      <c r="BU39" s="67">
        <f>ROUND(VLOOKUP(Q39,'OSM - Rating and Score'!$C$56:$D$61,2,0)*BU$6,2)</f>
        <v>0.14000000000000001</v>
      </c>
      <c r="BV39" s="29"/>
      <c r="BW39" s="67">
        <f>ROUND(VLOOKUP(S39,'OSM - Rating and Score'!$C$26:$D$31,2,0)*BW$6,2)</f>
        <v>0.1</v>
      </c>
      <c r="BX39" s="29"/>
      <c r="BY39" s="67">
        <f>ROUND(VLOOKUP(U39,'OSM - Rating and Score'!$C$35:$D$40,2,0)*BY$6,2)</f>
        <v>0.21</v>
      </c>
      <c r="BZ39" s="29"/>
      <c r="CA39" s="66"/>
      <c r="CB39" s="29"/>
      <c r="CC39" s="67">
        <f>ROUND(LOOKUP(Y39,'OSM - Rating and Score'!$G$85:$I$90,'OSM - Rating and Score'!$D$85:$D$90)*CC$6,2)</f>
        <v>0.2</v>
      </c>
      <c r="CD39" s="29"/>
      <c r="CE39" s="67">
        <f>ROUND(LOOKUP(AA39,'OSM - Rating and Score'!$G$113:$I$118,'OSM - Rating and Score'!$D$113:$D$118)*CE$6,2)</f>
        <v>0.32</v>
      </c>
      <c r="CF39" s="29"/>
      <c r="CG39" s="67">
        <f>ROUND(LOOKUP(AC39,'OSM - Rating and Score'!$G$94:$I$99,'OSM - Rating and Score'!$D$85:$D$90)*CG$6,2)</f>
        <v>0.2</v>
      </c>
      <c r="CH39" s="29"/>
      <c r="CI39" s="67">
        <f>ROUND(VLOOKUP(AE39,'OSM - Rating and Score'!$C$8:$D$13,2,0)*CI$6,2)</f>
        <v>0.4</v>
      </c>
      <c r="CJ39" s="29"/>
      <c r="CK39" s="67">
        <f>ROUND(VLOOKUP(AG39,'OSM - Rating and Score'!$C$8:$D$13,2,0)*CK$6,2)</f>
        <v>0.04</v>
      </c>
      <c r="CL39" s="29"/>
      <c r="CM39" s="67">
        <v>0</v>
      </c>
      <c r="CN39" s="29"/>
      <c r="CO39" s="67">
        <f>ROUND(VLOOKUP(AK39,'OSM - Rating and Score'!$C$8:$D$13,2,0)*CO$6,2)</f>
        <v>0.21</v>
      </c>
      <c r="CP39" s="29"/>
      <c r="CQ39" s="67">
        <f>ROUND(VLOOKUP(AM39,'OSM - Rating and Score'!$C$47:$D$52,2,0)*CQ$6,2)</f>
        <v>0.15</v>
      </c>
      <c r="CR39" s="29"/>
      <c r="CS39" s="67">
        <f>ROUND(VLOOKUP(AO39,'OSM - Rating and Score'!$C$47:$D$52,2,0)*CS$6,2)</f>
        <v>0.15</v>
      </c>
      <c r="CT39" s="29"/>
      <c r="CU39" s="67">
        <f>ROUND(VLOOKUP(AQ39,'OSM - Rating and Score'!$C$47:$D$52,2,0)*CU$6,2)</f>
        <v>0.2</v>
      </c>
      <c r="CV39" s="29"/>
      <c r="CW39" s="67">
        <f>ROUND(VLOOKUP(AS39,'OSM - Rating and Score'!$C$47:$D$52,2,0)*CW$6,2)</f>
        <v>0.21</v>
      </c>
      <c r="CX39" s="29"/>
      <c r="CY39" s="67">
        <f>ROUND(VLOOKUP(AU39,'OSM - Rating and Score'!$C$65:$D$70,2,0)*CY$6,2)</f>
        <v>0.2</v>
      </c>
      <c r="CZ39" s="29"/>
      <c r="DA39" s="67">
        <f>ROUND(VLOOKUP(AW39,'OSM - Rating and Score'!$C$8:$D$13,2,0)*DA$6,2)</f>
        <v>0</v>
      </c>
      <c r="DB39" s="29"/>
      <c r="DC39" s="67">
        <f>ROUND(VLOOKUP(AY39,'OSM - Rating and Score'!$C$75:$D$80,2,0)*DC$6,2)</f>
        <v>0.15</v>
      </c>
      <c r="DD39" s="29"/>
    </row>
    <row r="40" spans="2:108" ht="2.75" customHeight="1" x14ac:dyDescent="0.45">
      <c r="B40" s="29"/>
      <c r="C40" s="31"/>
      <c r="D40" s="29"/>
      <c r="E40" s="29"/>
      <c r="F40" s="29"/>
      <c r="G40" s="29"/>
      <c r="H40" s="29"/>
      <c r="I40" s="29"/>
      <c r="J40" s="29"/>
      <c r="K40" s="29"/>
      <c r="L40" s="29"/>
      <c r="M40" s="29"/>
      <c r="N40" s="29"/>
      <c r="O40" s="29"/>
      <c r="P40" s="29"/>
      <c r="Q40" s="29"/>
      <c r="R40" s="29"/>
      <c r="S40" s="29"/>
      <c r="T40" s="29"/>
      <c r="U40" s="29"/>
      <c r="V40" s="29"/>
      <c r="W40" s="29"/>
      <c r="X40" s="29"/>
      <c r="Y40" s="29"/>
      <c r="Z40" s="29"/>
      <c r="AA40" s="29">
        <v>20</v>
      </c>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row>
    <row r="41" spans="2:108" x14ac:dyDescent="0.45">
      <c r="B41" s="29"/>
      <c r="C41" s="7">
        <v>18</v>
      </c>
      <c r="D41" s="29"/>
      <c r="E41" t="s">
        <v>380</v>
      </c>
      <c r="F41" s="29"/>
      <c r="H41" s="29"/>
      <c r="I41" t="s">
        <v>83</v>
      </c>
      <c r="J41" s="29"/>
      <c r="K41" t="s">
        <v>83</v>
      </c>
      <c r="L41" s="29"/>
      <c r="M41" s="25"/>
      <c r="N41" s="29"/>
      <c r="O41" t="s">
        <v>110</v>
      </c>
      <c r="P41" s="29"/>
      <c r="Q41" t="s">
        <v>294</v>
      </c>
      <c r="R41" s="29"/>
      <c r="S41" t="s">
        <v>122</v>
      </c>
      <c r="T41" s="29"/>
      <c r="U41" t="s">
        <v>313</v>
      </c>
      <c r="V41" s="29"/>
      <c r="W41" s="25">
        <v>80</v>
      </c>
      <c r="X41" s="31"/>
      <c r="Y41" s="25">
        <v>5</v>
      </c>
      <c r="Z41" s="31"/>
      <c r="AA41" s="26">
        <v>0.2</v>
      </c>
      <c r="AB41" s="31"/>
      <c r="AC41" s="27">
        <f>ROUND(Y41*(1+AA41)^5,0)</f>
        <v>12</v>
      </c>
      <c r="AD41" s="29"/>
      <c r="AE41" t="s">
        <v>84</v>
      </c>
      <c r="AF41" s="29"/>
      <c r="AG41" t="s">
        <v>86</v>
      </c>
      <c r="AH41" s="29"/>
      <c r="AI41" s="60"/>
      <c r="AJ41" s="29"/>
      <c r="AK41" t="s">
        <v>83</v>
      </c>
      <c r="AL41" s="29"/>
      <c r="AM41" t="s">
        <v>147</v>
      </c>
      <c r="AN41" s="29"/>
      <c r="AO41" t="s">
        <v>148</v>
      </c>
      <c r="AP41" s="29"/>
      <c r="AQ41" t="s">
        <v>148</v>
      </c>
      <c r="AR41" s="29"/>
      <c r="AS41" t="s">
        <v>147</v>
      </c>
      <c r="AT41" s="29"/>
      <c r="AU41" t="s">
        <v>288</v>
      </c>
      <c r="AV41" s="29"/>
      <c r="AW41" t="s">
        <v>84</v>
      </c>
      <c r="AX41" s="29"/>
      <c r="AY41" t="s">
        <v>216</v>
      </c>
      <c r="AZ41" s="31"/>
      <c r="BA41" s="27" t="str">
        <f>IF(COUNTA(AY41,AW41,AU41,AS41,AQ41,AO41,AM41,AK41,AI41,AG41,AE41,AC41,AA41,Y41,W41,U41,S41,Q41,O41,K41,I41)=21,"✓","✗")</f>
        <v>✗</v>
      </c>
      <c r="BB41" s="31"/>
      <c r="BC41" s="69">
        <f>IFERROR(SUM(BM41:DC41),"")</f>
        <v>3.5900000000000007</v>
      </c>
      <c r="BD41" s="31"/>
      <c r="BE41" s="27" t="str">
        <f>IFERROR(LOOKUP(BC41,'OSM - Rating and Score'!$G$103:$I$108,'OSM - Rating and Score'!$C$103:$C$108),"")</f>
        <v>Attractive</v>
      </c>
      <c r="BF41" s="31"/>
      <c r="BG41" s="7" t="s">
        <v>381</v>
      </c>
      <c r="BH41" s="7"/>
      <c r="BI41" s="7"/>
      <c r="BJ41" s="7"/>
      <c r="BK41" s="7"/>
      <c r="BL41" s="29"/>
      <c r="BM41" s="67">
        <f>ROUND(VLOOKUP(I41,'OSM - Rating and Score'!$C$8:$D$13,2,0)*BM$6,2)</f>
        <v>0</v>
      </c>
      <c r="BN41" s="29"/>
      <c r="BO41" s="67">
        <f>ROUND(VLOOKUP(K41,'OSM - Rating and Score'!$C$8:$D$13,2,0)*BO$6,2)</f>
        <v>0.2</v>
      </c>
      <c r="BP41" s="29"/>
      <c r="BQ41" s="66"/>
      <c r="BR41" s="29"/>
      <c r="BS41" s="67">
        <f>ROUND(VLOOKUP(O41,'OSM - Rating and Score'!$C$17:$D$22,2,0)*BS$6,2)</f>
        <v>0.2</v>
      </c>
      <c r="BT41" s="29"/>
      <c r="BU41" s="67">
        <f>ROUND(VLOOKUP(Q41,'OSM - Rating and Score'!$C$56:$D$61,2,0)*BU$6,2)</f>
        <v>0.28000000000000003</v>
      </c>
      <c r="BV41" s="29"/>
      <c r="BW41" s="67">
        <f>ROUND(VLOOKUP(S41,'OSM - Rating and Score'!$C$26:$D$31,2,0)*BW$6,2)</f>
        <v>0.2</v>
      </c>
      <c r="BX41" s="29"/>
      <c r="BY41" s="67">
        <f>ROUND(VLOOKUP(U41,'OSM - Rating and Score'!$C$35:$D$40,2,0)*BY$6,2)</f>
        <v>0.35</v>
      </c>
      <c r="BZ41" s="29"/>
      <c r="CA41" s="66"/>
      <c r="CB41" s="29"/>
      <c r="CC41" s="67">
        <f>ROUND(LOOKUP(Y41,'OSM - Rating and Score'!$G$85:$I$90,'OSM - Rating and Score'!$D$85:$D$90)*CC$6,2)</f>
        <v>0.3</v>
      </c>
      <c r="CD41" s="29"/>
      <c r="CE41" s="67">
        <f>ROUND(LOOKUP(AA41,'OSM - Rating and Score'!$G$113:$I$118,'OSM - Rating and Score'!$D$113:$D$118)*CE$6,2)</f>
        <v>0.16</v>
      </c>
      <c r="CF41" s="29"/>
      <c r="CG41" s="67">
        <f>ROUND(LOOKUP(AC41,'OSM - Rating and Score'!$G$94:$I$99,'OSM - Rating and Score'!$D$85:$D$90)*CG$6,2)</f>
        <v>0.1</v>
      </c>
      <c r="CH41" s="29"/>
      <c r="CI41" s="67">
        <f>ROUND(VLOOKUP(AE41,'OSM - Rating and Score'!$C$8:$D$13,2,0)*CI$6,2)</f>
        <v>0.3</v>
      </c>
      <c r="CJ41" s="29"/>
      <c r="CK41" s="67">
        <f>ROUND(VLOOKUP(AG41,'OSM - Rating and Score'!$C$8:$D$13,2,0)*CK$6,2)</f>
        <v>0.04</v>
      </c>
      <c r="CL41" s="29"/>
      <c r="CM41" s="67">
        <v>0</v>
      </c>
      <c r="CN41" s="29"/>
      <c r="CO41" s="67">
        <f>ROUND(VLOOKUP(AK41,'OSM - Rating and Score'!$C$8:$D$13,2,0)*CO$6,2)</f>
        <v>0.28000000000000003</v>
      </c>
      <c r="CP41" s="29"/>
      <c r="CQ41" s="67">
        <f>ROUND(VLOOKUP(AM41,'OSM - Rating and Score'!$C$47:$D$52,2,0)*CQ$6,2)</f>
        <v>0.2</v>
      </c>
      <c r="CR41" s="29"/>
      <c r="CS41" s="67">
        <f>ROUND(VLOOKUP(AO41,'OSM - Rating and Score'!$C$47:$D$52,2,0)*CS$6,2)</f>
        <v>0.15</v>
      </c>
      <c r="CT41" s="29"/>
      <c r="CU41" s="67">
        <f>ROUND(VLOOKUP(AQ41,'OSM - Rating and Score'!$C$47:$D$52,2,0)*CU$6,2)</f>
        <v>0.15</v>
      </c>
      <c r="CV41" s="29"/>
      <c r="CW41" s="67">
        <f>ROUND(VLOOKUP(AS41,'OSM - Rating and Score'!$C$47:$D$52,2,0)*CW$6,2)</f>
        <v>0.28000000000000003</v>
      </c>
      <c r="CX41" s="29"/>
      <c r="CY41" s="67">
        <f>ROUND(VLOOKUP(AU41,'OSM - Rating and Score'!$C$65:$D$70,2,0)*CY$6,2)</f>
        <v>0.2</v>
      </c>
      <c r="CZ41" s="29"/>
      <c r="DA41" s="67">
        <f>ROUND(VLOOKUP(AW41,'OSM - Rating and Score'!$C$8:$D$13,2,0)*DA$6,2)</f>
        <v>0</v>
      </c>
      <c r="DB41" s="29"/>
      <c r="DC41" s="67">
        <f>ROUND(VLOOKUP(AY41,'OSM - Rating and Score'!$C$75:$D$80,2,0)*DC$6,2)</f>
        <v>0.2</v>
      </c>
      <c r="DD41" s="29"/>
    </row>
    <row r="42" spans="2:108" ht="2.75" customHeight="1" x14ac:dyDescent="0.45">
      <c r="B42" s="29"/>
      <c r="C42" s="31"/>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29"/>
      <c r="CO42" s="29"/>
      <c r="CP42" s="29"/>
      <c r="CQ42" s="29"/>
      <c r="CR42" s="29"/>
      <c r="CS42" s="29"/>
      <c r="CT42" s="29"/>
      <c r="CU42" s="29"/>
      <c r="CV42" s="29"/>
      <c r="CW42" s="29"/>
      <c r="CX42" s="29"/>
      <c r="CY42" s="29"/>
      <c r="CZ42" s="29"/>
      <c r="DA42" s="29"/>
      <c r="DB42" s="29"/>
      <c r="DC42" s="29"/>
      <c r="DD42" s="29"/>
    </row>
    <row r="43" spans="2:108" x14ac:dyDescent="0.45">
      <c r="B43" s="29"/>
      <c r="C43" s="7">
        <v>19</v>
      </c>
      <c r="D43" s="29"/>
      <c r="E43" s="71" t="s">
        <v>382</v>
      </c>
      <c r="F43" s="29"/>
      <c r="G43" t="s">
        <v>431</v>
      </c>
      <c r="H43" s="29"/>
      <c r="I43" t="s">
        <v>83</v>
      </c>
      <c r="J43" s="29"/>
      <c r="K43" t="s">
        <v>83</v>
      </c>
      <c r="L43" s="29"/>
      <c r="M43" s="25"/>
      <c r="N43" s="29"/>
      <c r="O43" t="s">
        <v>112</v>
      </c>
      <c r="P43" s="29"/>
      <c r="Q43" t="s">
        <v>296</v>
      </c>
      <c r="R43" s="29"/>
      <c r="S43" t="s">
        <v>124</v>
      </c>
      <c r="T43" s="29"/>
      <c r="U43" t="s">
        <v>316</v>
      </c>
      <c r="V43" s="29"/>
      <c r="W43" s="25">
        <v>100</v>
      </c>
      <c r="X43" s="31"/>
      <c r="Y43" s="25">
        <v>5</v>
      </c>
      <c r="Z43" s="31"/>
      <c r="AA43" s="26">
        <v>0.4</v>
      </c>
      <c r="AB43" s="31"/>
      <c r="AC43" s="27">
        <f>ROUND(Y43*(1+AA43)^5,0)</f>
        <v>27</v>
      </c>
      <c r="AD43" s="29"/>
      <c r="AE43" t="s">
        <v>83</v>
      </c>
      <c r="AF43" s="29"/>
      <c r="AG43" t="s">
        <v>88</v>
      </c>
      <c r="AH43" s="29"/>
      <c r="AI43" s="60"/>
      <c r="AJ43" s="29"/>
      <c r="AK43" t="s">
        <v>83</v>
      </c>
      <c r="AL43" s="29"/>
      <c r="AM43" t="s">
        <v>148</v>
      </c>
      <c r="AN43" s="29"/>
      <c r="AO43" t="s">
        <v>148</v>
      </c>
      <c r="AP43" s="29"/>
      <c r="AQ43" t="s">
        <v>149</v>
      </c>
      <c r="AR43" s="29"/>
      <c r="AS43" t="s">
        <v>148</v>
      </c>
      <c r="AT43" s="29"/>
      <c r="AU43" t="s">
        <v>288</v>
      </c>
      <c r="AV43" s="29"/>
      <c r="AW43" t="s">
        <v>83</v>
      </c>
      <c r="AX43" s="29"/>
      <c r="AY43" t="s">
        <v>216</v>
      </c>
      <c r="AZ43" s="31"/>
      <c r="BA43" s="27" t="str">
        <f>IF(COUNTA(AY43,AW43,AU43,AS43,AQ43,AO43,AM43,AK43,AI43,AG43,AE43,AC43,AA43,Y43,W43,U43,S43,Q43,O43,K43,I43)=21,"✓","✗")</f>
        <v>✗</v>
      </c>
      <c r="BB43" s="31"/>
      <c r="BC43" s="69">
        <f>IFERROR(SUM(BM43:DC43),"")</f>
        <v>3.4600000000000004</v>
      </c>
      <c r="BD43" s="31"/>
      <c r="BE43" s="27" t="str">
        <f>IFERROR(LOOKUP(BC43,'OSM - Rating and Score'!$G$103:$I$108,'OSM - Rating and Score'!$C$103:$C$108),"")</f>
        <v>Moderate</v>
      </c>
      <c r="BF43" s="31"/>
      <c r="BG43" s="7" t="s">
        <v>408</v>
      </c>
      <c r="BH43" s="7"/>
      <c r="BI43" s="7"/>
      <c r="BJ43" s="7"/>
      <c r="BK43" s="7"/>
      <c r="BL43" s="29"/>
      <c r="BM43" s="67">
        <f>ROUND(VLOOKUP(I43,'OSM - Rating and Score'!$C$8:$D$13,2,0)*BM$6,2)</f>
        <v>0</v>
      </c>
      <c r="BN43" s="29"/>
      <c r="BO43" s="67">
        <f>ROUND(VLOOKUP(K43,'OSM - Rating and Score'!$C$8:$D$13,2,0)*BO$6,2)</f>
        <v>0.2</v>
      </c>
      <c r="BP43" s="29"/>
      <c r="BQ43" s="66"/>
      <c r="BR43" s="29"/>
      <c r="BS43" s="67">
        <f>ROUND(VLOOKUP(O43,'OSM - Rating and Score'!$C$17:$D$22,2,0)*BS$6,2)</f>
        <v>0.15</v>
      </c>
      <c r="BT43" s="29"/>
      <c r="BU43" s="67">
        <f>ROUND(VLOOKUP(Q43,'OSM - Rating and Score'!$C$56:$D$61,2,0)*BU$6,2)</f>
        <v>0.21</v>
      </c>
      <c r="BV43" s="29"/>
      <c r="BW43" s="67">
        <f>ROUND(VLOOKUP(S43,'OSM - Rating and Score'!$C$26:$D$31,2,0)*BW$6,2)</f>
        <v>0.15</v>
      </c>
      <c r="BX43" s="29"/>
      <c r="BY43" s="67">
        <f>ROUND(VLOOKUP(U43,'OSM - Rating and Score'!$C$35:$D$40,2,0)*BY$6,2)</f>
        <v>0.14000000000000001</v>
      </c>
      <c r="BZ43" s="29"/>
      <c r="CA43" s="66"/>
      <c r="CB43" s="29"/>
      <c r="CC43" s="67">
        <f>ROUND(LOOKUP(Y43,'OSM - Rating and Score'!$G$85:$I$90,'OSM - Rating and Score'!$D$85:$D$90)*CC$6,2)</f>
        <v>0.3</v>
      </c>
      <c r="CD43" s="29"/>
      <c r="CE43" s="67">
        <f>ROUND(LOOKUP(AA43,'OSM - Rating and Score'!$G$113:$I$118,'OSM - Rating and Score'!$D$113:$D$118)*CE$6,2)</f>
        <v>0.32</v>
      </c>
      <c r="CF43" s="29"/>
      <c r="CG43" s="67">
        <f>ROUND(LOOKUP(AC43,'OSM - Rating and Score'!$G$94:$I$99,'OSM - Rating and Score'!$D$85:$D$90)*CG$6,2)</f>
        <v>0.3</v>
      </c>
      <c r="CH43" s="29"/>
      <c r="CI43" s="67">
        <f>ROUND(VLOOKUP(AE43,'OSM - Rating and Score'!$C$8:$D$13,2,0)*CI$6,2)</f>
        <v>0.4</v>
      </c>
      <c r="CJ43" s="29"/>
      <c r="CK43" s="67">
        <f>ROUND(VLOOKUP(AG43,'OSM - Rating and Score'!$C$8:$D$13,2,0)*CK$6,2)</f>
        <v>0</v>
      </c>
      <c r="CL43" s="29"/>
      <c r="CM43" s="67">
        <v>0</v>
      </c>
      <c r="CN43" s="29"/>
      <c r="CO43" s="67">
        <f>ROUND(VLOOKUP(AK43,'OSM - Rating and Score'!$C$8:$D$13,2,0)*CO$6,2)</f>
        <v>0.28000000000000003</v>
      </c>
      <c r="CP43" s="29"/>
      <c r="CQ43" s="67">
        <f>ROUND(VLOOKUP(AM43,'OSM - Rating and Score'!$C$47:$D$52,2,0)*CQ$6,2)</f>
        <v>0.15</v>
      </c>
      <c r="CR43" s="29"/>
      <c r="CS43" s="67">
        <f>ROUND(VLOOKUP(AO43,'OSM - Rating and Score'!$C$47:$D$52,2,0)*CS$6,2)</f>
        <v>0.15</v>
      </c>
      <c r="CT43" s="29"/>
      <c r="CU43" s="67">
        <f>ROUND(VLOOKUP(AQ43,'OSM - Rating and Score'!$C$47:$D$52,2,0)*CU$6,2)</f>
        <v>0.1</v>
      </c>
      <c r="CV43" s="29"/>
      <c r="CW43" s="67">
        <f>ROUND(VLOOKUP(AS43,'OSM - Rating and Score'!$C$47:$D$52,2,0)*CW$6,2)</f>
        <v>0.21</v>
      </c>
      <c r="CX43" s="29"/>
      <c r="CY43" s="67">
        <f>ROUND(VLOOKUP(AU43,'OSM - Rating and Score'!$C$65:$D$70,2,0)*CY$6,2)</f>
        <v>0.2</v>
      </c>
      <c r="CZ43" s="29"/>
      <c r="DA43" s="67">
        <f>ROUND(VLOOKUP(AW43,'OSM - Rating and Score'!$C$8:$D$13,2,0)*DA$6,2)</f>
        <v>0</v>
      </c>
      <c r="DB43" s="29"/>
      <c r="DC43" s="67">
        <f>ROUND(VLOOKUP(AY43,'OSM - Rating and Score'!$C$75:$D$80,2,0)*DC$6,2)</f>
        <v>0.2</v>
      </c>
      <c r="DD43" s="29"/>
    </row>
    <row r="44" spans="2:108" ht="2.75" customHeight="1" x14ac:dyDescent="0.45">
      <c r="B44" s="29"/>
      <c r="C44" s="31"/>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29"/>
      <c r="CI44" s="29"/>
      <c r="CJ44" s="29"/>
      <c r="CK44" s="29"/>
      <c r="CL44" s="29"/>
      <c r="CM44" s="29"/>
      <c r="CN44" s="29"/>
      <c r="CO44" s="29"/>
      <c r="CP44" s="29"/>
      <c r="CQ44" s="29"/>
      <c r="CR44" s="29"/>
      <c r="CS44" s="29"/>
      <c r="CT44" s="29"/>
      <c r="CU44" s="29"/>
      <c r="CV44" s="29"/>
      <c r="CW44" s="29"/>
      <c r="CX44" s="29"/>
      <c r="CY44" s="29"/>
      <c r="CZ44" s="29"/>
      <c r="DA44" s="29"/>
      <c r="DB44" s="29"/>
      <c r="DC44" s="29"/>
      <c r="DD44" s="29"/>
    </row>
    <row r="45" spans="2:108" x14ac:dyDescent="0.45">
      <c r="B45" s="29"/>
      <c r="C45" s="7">
        <v>20</v>
      </c>
      <c r="D45" s="29"/>
      <c r="E45" t="s">
        <v>385</v>
      </c>
      <c r="F45" s="29"/>
      <c r="G45" t="s">
        <v>432</v>
      </c>
      <c r="H45" s="29"/>
      <c r="I45" t="s">
        <v>83</v>
      </c>
      <c r="J45" s="29"/>
      <c r="K45" t="s">
        <v>85</v>
      </c>
      <c r="L45" s="29"/>
      <c r="M45" s="25"/>
      <c r="N45" s="29"/>
      <c r="O45" t="s">
        <v>114</v>
      </c>
      <c r="P45" s="29"/>
      <c r="Q45" t="s">
        <v>298</v>
      </c>
      <c r="R45" s="29"/>
      <c r="S45" t="s">
        <v>126</v>
      </c>
      <c r="T45" s="29"/>
      <c r="U45" t="s">
        <v>316</v>
      </c>
      <c r="V45" s="29"/>
      <c r="W45" s="25">
        <v>200</v>
      </c>
      <c r="X45" s="31"/>
      <c r="Y45" s="25">
        <v>5</v>
      </c>
      <c r="Z45" s="31"/>
      <c r="AA45" s="26">
        <v>0.2</v>
      </c>
      <c r="AB45" s="31"/>
      <c r="AC45" s="27">
        <f>ROUND(Y45*(1+AA45)^5,0)</f>
        <v>12</v>
      </c>
      <c r="AD45" s="29"/>
      <c r="AE45" t="s">
        <v>83</v>
      </c>
      <c r="AF45" s="29"/>
      <c r="AG45" t="s">
        <v>86</v>
      </c>
      <c r="AH45" s="29"/>
      <c r="AI45" s="60">
        <v>0.5</v>
      </c>
      <c r="AJ45" s="29"/>
      <c r="AK45" t="s">
        <v>83</v>
      </c>
      <c r="AL45" s="29"/>
      <c r="AM45" t="s">
        <v>147</v>
      </c>
      <c r="AN45" s="29"/>
      <c r="AO45" t="s">
        <v>148</v>
      </c>
      <c r="AP45" s="29"/>
      <c r="AQ45" t="s">
        <v>148</v>
      </c>
      <c r="AR45" s="29"/>
      <c r="AS45" t="s">
        <v>148</v>
      </c>
      <c r="AT45" s="29"/>
      <c r="AU45" t="s">
        <v>148</v>
      </c>
      <c r="AV45" s="29"/>
      <c r="AW45" t="s">
        <v>86</v>
      </c>
      <c r="AX45" s="29"/>
      <c r="AY45" t="s">
        <v>216</v>
      </c>
      <c r="AZ45" s="31"/>
      <c r="BA45" s="27" t="str">
        <f>IF(COUNTA(AY45,AW45,AU45,AS45,AQ45,AO45,AM45,AK45,AI45,AG45,AE45,AC45,AA45,Y45,W45,U45,S45,Q45,O45,K45,I45)=21,"✓","✗")</f>
        <v>✓</v>
      </c>
      <c r="BB45" s="31"/>
      <c r="BC45" s="69">
        <f>IFERROR(SUM(BM45:DC45),"")</f>
        <v>2.92</v>
      </c>
      <c r="BD45" s="31"/>
      <c r="BE45" s="27" t="str">
        <f>IFERROR(LOOKUP(BC45,'OSM - Rating and Score'!$G$103:$I$108,'OSM - Rating and Score'!$C$103:$C$108),"")</f>
        <v>Moderate</v>
      </c>
      <c r="BF45" s="31"/>
      <c r="BG45" s="7" t="s">
        <v>387</v>
      </c>
      <c r="BH45" s="7"/>
      <c r="BI45" s="7"/>
      <c r="BJ45" s="7"/>
      <c r="BK45" s="7"/>
      <c r="BL45" s="29"/>
      <c r="BM45" s="67">
        <f>ROUND(VLOOKUP(I45,'OSM - Rating and Score'!$C$8:$D$13,2,0)*BM$6,2)</f>
        <v>0</v>
      </c>
      <c r="BN45" s="29"/>
      <c r="BO45" s="67">
        <f>ROUND(VLOOKUP(K45,'OSM - Rating and Score'!$C$8:$D$13,2,0)*BO$6,2)</f>
        <v>0.1</v>
      </c>
      <c r="BP45" s="29"/>
      <c r="BQ45" s="66"/>
      <c r="BR45" s="29"/>
      <c r="BS45" s="67">
        <f>ROUND(VLOOKUP(O45,'OSM - Rating and Score'!$C$17:$D$22,2,0)*BS$6,2)</f>
        <v>0.1</v>
      </c>
      <c r="BT45" s="29"/>
      <c r="BU45" s="67">
        <f>ROUND(VLOOKUP(Q45,'OSM - Rating and Score'!$C$56:$D$61,2,0)*BU$6,2)</f>
        <v>0.14000000000000001</v>
      </c>
      <c r="BV45" s="29"/>
      <c r="BW45" s="67">
        <f>ROUND(VLOOKUP(S45,'OSM - Rating and Score'!$C$26:$D$31,2,0)*BW$6,2)</f>
        <v>0.1</v>
      </c>
      <c r="BX45" s="29"/>
      <c r="BY45" s="67">
        <f>ROUND(VLOOKUP(U45,'OSM - Rating and Score'!$C$35:$D$40,2,0)*BY$6,2)</f>
        <v>0.14000000000000001</v>
      </c>
      <c r="BZ45" s="29"/>
      <c r="CA45" s="66"/>
      <c r="CB45" s="29"/>
      <c r="CC45" s="67">
        <f>ROUND(LOOKUP(Y45,'OSM - Rating and Score'!$G$85:$I$90,'OSM - Rating and Score'!$D$85:$D$90)*CC$6,2)</f>
        <v>0.3</v>
      </c>
      <c r="CD45" s="29"/>
      <c r="CE45" s="67">
        <f>ROUND(LOOKUP(AA45,'OSM - Rating and Score'!$G$113:$I$118,'OSM - Rating and Score'!$D$113:$D$118)*CE$6,2)</f>
        <v>0.16</v>
      </c>
      <c r="CF45" s="29"/>
      <c r="CG45" s="67">
        <f>ROUND(LOOKUP(AC45,'OSM - Rating and Score'!$G$94:$I$99,'OSM - Rating and Score'!$D$85:$D$90)*CG$6,2)</f>
        <v>0.1</v>
      </c>
      <c r="CH45" s="29"/>
      <c r="CI45" s="67">
        <f>ROUND(VLOOKUP(AE45,'OSM - Rating and Score'!$C$8:$D$13,2,0)*CI$6,2)</f>
        <v>0.4</v>
      </c>
      <c r="CJ45" s="29"/>
      <c r="CK45" s="67">
        <f>ROUND(VLOOKUP(AG45,'OSM - Rating and Score'!$C$8:$D$13,2,0)*CK$6,2)</f>
        <v>0.04</v>
      </c>
      <c r="CL45" s="29"/>
      <c r="CM45" s="67">
        <v>0</v>
      </c>
      <c r="CN45" s="29"/>
      <c r="CO45" s="67">
        <f>ROUND(VLOOKUP(AK45,'OSM - Rating and Score'!$C$8:$D$13,2,0)*CO$6,2)</f>
        <v>0.28000000000000003</v>
      </c>
      <c r="CP45" s="29"/>
      <c r="CQ45" s="67">
        <f>ROUND(VLOOKUP(AM45,'OSM - Rating and Score'!$C$47:$D$52,2,0)*CQ$6,2)</f>
        <v>0.2</v>
      </c>
      <c r="CR45" s="29"/>
      <c r="CS45" s="67">
        <f>ROUND(VLOOKUP(AO45,'OSM - Rating and Score'!$C$47:$D$52,2,0)*CS$6,2)</f>
        <v>0.15</v>
      </c>
      <c r="CT45" s="29"/>
      <c r="CU45" s="67">
        <f>ROUND(VLOOKUP(AQ45,'OSM - Rating and Score'!$C$47:$D$52,2,0)*CU$6,2)</f>
        <v>0.15</v>
      </c>
      <c r="CV45" s="29"/>
      <c r="CW45" s="67">
        <f>ROUND(VLOOKUP(AS45,'OSM - Rating and Score'!$C$47:$D$52,2,0)*CW$6,2)</f>
        <v>0.21</v>
      </c>
      <c r="CX45" s="29"/>
      <c r="CY45" s="67">
        <f>ROUND(VLOOKUP(AU45,'OSM - Rating and Score'!$C$65:$D$70,2,0)*CY$6,2)</f>
        <v>0.15</v>
      </c>
      <c r="CZ45" s="29"/>
      <c r="DA45" s="67">
        <f>ROUND(VLOOKUP(AW45,'OSM - Rating and Score'!$C$8:$D$13,2,0)*DA$6,2)</f>
        <v>0</v>
      </c>
      <c r="DB45" s="29"/>
      <c r="DC45" s="67">
        <f>ROUND(VLOOKUP(AY45,'OSM - Rating and Score'!$C$75:$D$80,2,0)*DC$6,2)</f>
        <v>0.2</v>
      </c>
      <c r="DD45" s="29"/>
    </row>
    <row r="46" spans="2:108" ht="2.75" customHeight="1" x14ac:dyDescent="0.45">
      <c r="B46" s="29"/>
      <c r="C46" s="31"/>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29"/>
      <c r="CI46" s="29"/>
      <c r="CJ46" s="29"/>
      <c r="CK46" s="29"/>
      <c r="CL46" s="29"/>
      <c r="CM46" s="29"/>
      <c r="CN46" s="29"/>
      <c r="CO46" s="29"/>
      <c r="CP46" s="29"/>
      <c r="CQ46" s="29"/>
      <c r="CR46" s="29"/>
      <c r="CS46" s="29"/>
      <c r="CT46" s="29"/>
      <c r="CU46" s="29"/>
      <c r="CV46" s="29"/>
      <c r="CW46" s="29"/>
      <c r="CX46" s="29"/>
      <c r="CY46" s="29"/>
      <c r="CZ46" s="29"/>
      <c r="DA46" s="29"/>
      <c r="DB46" s="29"/>
      <c r="DC46" s="29"/>
      <c r="DD46" s="29"/>
    </row>
    <row r="47" spans="2:108" x14ac:dyDescent="0.45">
      <c r="B47" s="29"/>
      <c r="C47" s="7">
        <v>21</v>
      </c>
      <c r="D47" s="29"/>
      <c r="E47" t="s">
        <v>386</v>
      </c>
      <c r="F47" s="29"/>
      <c r="H47" s="29"/>
      <c r="I47" t="s">
        <v>83</v>
      </c>
      <c r="J47" s="29"/>
      <c r="K47" t="s">
        <v>85</v>
      </c>
      <c r="L47" s="29"/>
      <c r="M47" s="25"/>
      <c r="N47" s="29"/>
      <c r="O47" t="s">
        <v>114</v>
      </c>
      <c r="P47" s="29"/>
      <c r="Q47" t="s">
        <v>298</v>
      </c>
      <c r="R47" s="29"/>
      <c r="S47" t="s">
        <v>126</v>
      </c>
      <c r="T47" s="29"/>
      <c r="U47" t="s">
        <v>316</v>
      </c>
      <c r="V47" s="29"/>
      <c r="W47" s="25">
        <v>250</v>
      </c>
      <c r="X47" s="31"/>
      <c r="Y47" s="25">
        <v>5</v>
      </c>
      <c r="Z47" s="31"/>
      <c r="AA47" s="26">
        <v>0.25</v>
      </c>
      <c r="AB47" s="31"/>
      <c r="AC47" s="27">
        <f>ROUND(Y47*(1+AA47)^5,0)</f>
        <v>15</v>
      </c>
      <c r="AD47" s="29"/>
      <c r="AE47" t="s">
        <v>84</v>
      </c>
      <c r="AF47" s="29"/>
      <c r="AG47" t="s">
        <v>86</v>
      </c>
      <c r="AH47" s="29"/>
      <c r="AI47" s="60"/>
      <c r="AJ47" s="29"/>
      <c r="AK47" t="s">
        <v>83</v>
      </c>
      <c r="AL47" s="29"/>
      <c r="AM47" t="s">
        <v>147</v>
      </c>
      <c r="AN47" s="29"/>
      <c r="AO47" t="s">
        <v>148</v>
      </c>
      <c r="AP47" s="29"/>
      <c r="AQ47" t="s">
        <v>148</v>
      </c>
      <c r="AR47" s="29"/>
      <c r="AS47" t="s">
        <v>148</v>
      </c>
      <c r="AT47" s="29"/>
      <c r="AU47" t="s">
        <v>148</v>
      </c>
      <c r="AV47" s="29"/>
      <c r="AW47" t="s">
        <v>84</v>
      </c>
      <c r="AX47" s="29"/>
      <c r="AY47" t="s">
        <v>84</v>
      </c>
      <c r="AZ47" s="31"/>
      <c r="BA47" s="27" t="str">
        <f>IF(COUNTA(AY47,AW47,AU47,AS47,AQ47,AO47,AM47,AK47,AI47,AG47,AE47,AC47,AA47,Y47,W47,U47,S47,Q47,O47,K47,I47)=21,"✓","✗")</f>
        <v>✗</v>
      </c>
      <c r="BB47" s="31"/>
      <c r="BC47" s="69">
        <f>IFERROR(SUM(BM47:DC47),"")</f>
        <v>2.8699999999999997</v>
      </c>
      <c r="BD47" s="31"/>
      <c r="BE47" s="27" t="str">
        <f>IFERROR(LOOKUP(BC47,'OSM - Rating and Score'!$G$103:$I$108,'OSM - Rating and Score'!$C$103:$C$108),"")</f>
        <v>Moderate</v>
      </c>
      <c r="BF47" s="31"/>
      <c r="BG47" s="7"/>
      <c r="BH47" s="7"/>
      <c r="BI47" s="7"/>
      <c r="BJ47" s="7"/>
      <c r="BK47" s="7"/>
      <c r="BL47" s="29"/>
      <c r="BM47" s="67">
        <f>ROUND(VLOOKUP(I47,'OSM - Rating and Score'!$C$8:$D$13,2,0)*BM$6,2)</f>
        <v>0</v>
      </c>
      <c r="BN47" s="29"/>
      <c r="BO47" s="67">
        <f>ROUND(VLOOKUP(K47,'OSM - Rating and Score'!$C$8:$D$13,2,0)*BO$6,2)</f>
        <v>0.1</v>
      </c>
      <c r="BP47" s="29"/>
      <c r="BQ47" s="66"/>
      <c r="BR47" s="29"/>
      <c r="BS47" s="67">
        <f>ROUND(VLOOKUP(O47,'OSM - Rating and Score'!$C$17:$D$22,2,0)*BS$6,2)</f>
        <v>0.1</v>
      </c>
      <c r="BT47" s="29"/>
      <c r="BU47" s="67">
        <f>ROUND(VLOOKUP(Q47,'OSM - Rating and Score'!$C$56:$D$61,2,0)*BU$6,2)</f>
        <v>0.14000000000000001</v>
      </c>
      <c r="BV47" s="29"/>
      <c r="BW47" s="67">
        <f>ROUND(VLOOKUP(S47,'OSM - Rating and Score'!$C$26:$D$31,2,0)*BW$6,2)</f>
        <v>0.1</v>
      </c>
      <c r="BX47" s="29"/>
      <c r="BY47" s="67">
        <f>ROUND(VLOOKUP(U47,'OSM - Rating and Score'!$C$35:$D$40,2,0)*BY$6,2)</f>
        <v>0.14000000000000001</v>
      </c>
      <c r="BZ47" s="29"/>
      <c r="CA47" s="66"/>
      <c r="CB47" s="29"/>
      <c r="CC47" s="67">
        <f>ROUND(LOOKUP(Y47,'OSM - Rating and Score'!$G$85:$I$90,'OSM - Rating and Score'!$D$85:$D$90)*CC$6,2)</f>
        <v>0.3</v>
      </c>
      <c r="CD47" s="29"/>
      <c r="CE47" s="67">
        <f>ROUND(LOOKUP(AA47,'OSM - Rating and Score'!$G$113:$I$118,'OSM - Rating and Score'!$D$113:$D$118)*CE$6,2)</f>
        <v>0.16</v>
      </c>
      <c r="CF47" s="29"/>
      <c r="CG47" s="67">
        <f>ROUND(LOOKUP(AC47,'OSM - Rating and Score'!$G$94:$I$99,'OSM - Rating and Score'!$D$85:$D$90)*CG$6,2)</f>
        <v>0.2</v>
      </c>
      <c r="CH47" s="29"/>
      <c r="CI47" s="67">
        <f>ROUND(VLOOKUP(AE47,'OSM - Rating and Score'!$C$8:$D$13,2,0)*CI$6,2)</f>
        <v>0.3</v>
      </c>
      <c r="CJ47" s="29"/>
      <c r="CK47" s="67">
        <f>ROUND(VLOOKUP(AG47,'OSM - Rating and Score'!$C$8:$D$13,2,0)*CK$6,2)</f>
        <v>0.04</v>
      </c>
      <c r="CL47" s="29"/>
      <c r="CM47" s="67">
        <v>0</v>
      </c>
      <c r="CN47" s="29"/>
      <c r="CO47" s="67">
        <f>ROUND(VLOOKUP(AK47,'OSM - Rating and Score'!$C$8:$D$13,2,0)*CO$6,2)</f>
        <v>0.28000000000000003</v>
      </c>
      <c r="CP47" s="29"/>
      <c r="CQ47" s="67">
        <f>ROUND(VLOOKUP(AM47,'OSM - Rating and Score'!$C$47:$D$52,2,0)*CQ$6,2)</f>
        <v>0.2</v>
      </c>
      <c r="CR47" s="29"/>
      <c r="CS47" s="67">
        <f>ROUND(VLOOKUP(AO47,'OSM - Rating and Score'!$C$47:$D$52,2,0)*CS$6,2)</f>
        <v>0.15</v>
      </c>
      <c r="CT47" s="29"/>
      <c r="CU47" s="67">
        <f>ROUND(VLOOKUP(AQ47,'OSM - Rating and Score'!$C$47:$D$52,2,0)*CU$6,2)</f>
        <v>0.15</v>
      </c>
      <c r="CV47" s="29"/>
      <c r="CW47" s="67">
        <f>ROUND(VLOOKUP(AS47,'OSM - Rating and Score'!$C$47:$D$52,2,0)*CW$6,2)</f>
        <v>0.21</v>
      </c>
      <c r="CX47" s="29"/>
      <c r="CY47" s="67">
        <f>ROUND(VLOOKUP(AU47,'OSM - Rating and Score'!$C$65:$D$70,2,0)*CY$6,2)</f>
        <v>0.15</v>
      </c>
      <c r="CZ47" s="29"/>
      <c r="DA47" s="67">
        <f>ROUND(VLOOKUP(AW47,'OSM - Rating and Score'!$C$8:$D$13,2,0)*DA$6,2)</f>
        <v>0</v>
      </c>
      <c r="DB47" s="29"/>
      <c r="DC47" s="67">
        <f>ROUND(VLOOKUP(AY47,'OSM - Rating and Score'!$C$75:$D$80,2,0)*DC$6,2)</f>
        <v>0.15</v>
      </c>
      <c r="DD47" s="29"/>
    </row>
    <row r="48" spans="2:108" ht="2.75" customHeight="1" x14ac:dyDescent="0.45">
      <c r="B48" s="29"/>
      <c r="C48" s="31"/>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L48" s="29"/>
      <c r="BM48" s="29"/>
      <c r="BN48" s="29"/>
      <c r="BO48" s="29"/>
      <c r="BP48" s="29"/>
      <c r="BQ48" s="29"/>
      <c r="BR48" s="29"/>
      <c r="BS48" s="29"/>
      <c r="BT48" s="29"/>
      <c r="BU48" s="29"/>
      <c r="BV48" s="29"/>
      <c r="BW48" s="29"/>
      <c r="BX48" s="29"/>
      <c r="BY48" s="29"/>
      <c r="BZ48" s="29"/>
      <c r="CA48" s="29"/>
      <c r="CB48" s="29"/>
      <c r="CC48" s="29"/>
      <c r="CD48" s="29"/>
      <c r="CE48" s="29"/>
      <c r="CF48" s="29"/>
      <c r="CG48" s="29"/>
      <c r="CH48" s="29"/>
      <c r="CI48" s="29"/>
      <c r="CJ48" s="29"/>
      <c r="CK48" s="29"/>
      <c r="CL48" s="29"/>
      <c r="CM48" s="29"/>
      <c r="CN48" s="29"/>
      <c r="CO48" s="29"/>
      <c r="CP48" s="29"/>
      <c r="CQ48" s="29"/>
      <c r="CR48" s="29"/>
      <c r="CS48" s="29"/>
      <c r="CT48" s="29"/>
      <c r="CU48" s="29"/>
      <c r="CV48" s="29"/>
      <c r="CW48" s="29"/>
      <c r="CX48" s="29"/>
      <c r="CY48" s="29"/>
      <c r="CZ48" s="29"/>
      <c r="DA48" s="29"/>
      <c r="DB48" s="29"/>
      <c r="DC48" s="29"/>
      <c r="DD48" s="29"/>
    </row>
    <row r="49" spans="2:108" x14ac:dyDescent="0.45">
      <c r="B49" s="29"/>
      <c r="C49" s="7">
        <v>22</v>
      </c>
      <c r="D49" s="29"/>
      <c r="E49" t="s">
        <v>388</v>
      </c>
      <c r="F49" s="29"/>
      <c r="G49" t="s">
        <v>389</v>
      </c>
      <c r="H49" s="29"/>
      <c r="I49" t="s">
        <v>83</v>
      </c>
      <c r="J49" s="29"/>
      <c r="K49" t="s">
        <v>87</v>
      </c>
      <c r="L49" s="29"/>
      <c r="M49" s="25"/>
      <c r="N49" s="29"/>
      <c r="O49" t="s">
        <v>112</v>
      </c>
      <c r="P49" s="29"/>
      <c r="Q49" t="s">
        <v>294</v>
      </c>
      <c r="R49" s="29"/>
      <c r="S49" t="s">
        <v>122</v>
      </c>
      <c r="T49" s="29"/>
      <c r="U49" t="s">
        <v>315</v>
      </c>
      <c r="V49" s="29"/>
      <c r="W49" s="25">
        <v>150</v>
      </c>
      <c r="X49" s="31"/>
      <c r="Y49" s="25">
        <v>10</v>
      </c>
      <c r="Z49" s="31"/>
      <c r="AA49" s="26">
        <v>0.2</v>
      </c>
      <c r="AB49" s="31"/>
      <c r="AC49" s="27">
        <f>ROUND(Y49*(1+AA49)^5,0)</f>
        <v>25</v>
      </c>
      <c r="AD49" s="29"/>
      <c r="AE49" t="s">
        <v>84</v>
      </c>
      <c r="AF49" s="29"/>
      <c r="AG49" t="s">
        <v>86</v>
      </c>
      <c r="AH49" s="29"/>
      <c r="AI49" s="60"/>
      <c r="AJ49" s="29"/>
      <c r="AK49" t="s">
        <v>84</v>
      </c>
      <c r="AL49" s="29"/>
      <c r="AM49" t="s">
        <v>148</v>
      </c>
      <c r="AN49" s="29"/>
      <c r="AO49" t="s">
        <v>148</v>
      </c>
      <c r="AP49" s="29"/>
      <c r="AQ49" t="s">
        <v>147</v>
      </c>
      <c r="AR49" s="29"/>
      <c r="AS49" t="s">
        <v>148</v>
      </c>
      <c r="AT49" s="29"/>
      <c r="AU49" t="s">
        <v>288</v>
      </c>
      <c r="AV49" s="29"/>
      <c r="AW49" t="s">
        <v>86</v>
      </c>
      <c r="AX49" s="29"/>
      <c r="AY49" t="s">
        <v>84</v>
      </c>
      <c r="AZ49" s="31"/>
      <c r="BA49" s="27" t="str">
        <f>IF(COUNTA(AY49,AW49,AU49,AS49,AQ49,AO49,AM49,AK49,AI49,AG49,AE49,AC49,AA49,Y49,W49,U49,S49,Q49,O49,K49,I49)=21,"✓","✗")</f>
        <v>✗</v>
      </c>
      <c r="BB49" s="31"/>
      <c r="BC49" s="69">
        <f>IFERROR(SUM(BM49:DC49),"")</f>
        <v>3.46</v>
      </c>
      <c r="BD49" s="31"/>
      <c r="BE49" s="27" t="str">
        <f>IFERROR(LOOKUP(BC49,'OSM - Rating and Score'!$G$103:$I$108,'OSM - Rating and Score'!$C$103:$C$108),"")</f>
        <v>Moderate</v>
      </c>
      <c r="BF49" s="31"/>
      <c r="BG49" s="7" t="s">
        <v>417</v>
      </c>
      <c r="BH49" s="7"/>
      <c r="BI49" s="7"/>
      <c r="BJ49" s="7"/>
      <c r="BK49" s="7"/>
      <c r="BL49" s="29"/>
      <c r="BM49" s="67">
        <f>ROUND(VLOOKUP(I49,'OSM - Rating and Score'!$C$8:$D$13,2,0)*BM$6,2)</f>
        <v>0</v>
      </c>
      <c r="BN49" s="29"/>
      <c r="BO49" s="67">
        <f>ROUND(VLOOKUP(K49,'OSM - Rating and Score'!$C$8:$D$13,2,0)*BO$6,2)</f>
        <v>0.25</v>
      </c>
      <c r="BP49" s="29"/>
      <c r="BQ49" s="66"/>
      <c r="BR49" s="29"/>
      <c r="BS49" s="67">
        <f>ROUND(VLOOKUP(O49,'OSM - Rating and Score'!$C$17:$D$22,2,0)*BS$6,2)</f>
        <v>0.15</v>
      </c>
      <c r="BT49" s="29"/>
      <c r="BU49" s="67">
        <f>ROUND(VLOOKUP(Q49,'OSM - Rating and Score'!$C$56:$D$61,2,0)*BU$6,2)</f>
        <v>0.28000000000000003</v>
      </c>
      <c r="BV49" s="29"/>
      <c r="BW49" s="67">
        <f>ROUND(VLOOKUP(S49,'OSM - Rating and Score'!$C$26:$D$31,2,0)*BW$6,2)</f>
        <v>0.2</v>
      </c>
      <c r="BX49" s="29"/>
      <c r="BY49" s="67">
        <f>ROUND(VLOOKUP(U49,'OSM - Rating and Score'!$C$35:$D$40,2,0)*BY$6,2)</f>
        <v>0.21</v>
      </c>
      <c r="BZ49" s="29"/>
      <c r="CA49" s="66"/>
      <c r="CB49" s="29"/>
      <c r="CC49" s="67">
        <f>ROUND(LOOKUP(Y49,'OSM - Rating and Score'!$G$85:$I$90,'OSM - Rating and Score'!$D$85:$D$90)*CC$6,2)</f>
        <v>0.3</v>
      </c>
      <c r="CD49" s="29"/>
      <c r="CE49" s="67">
        <f>ROUND(LOOKUP(AA49,'OSM - Rating and Score'!$G$113:$I$118,'OSM - Rating and Score'!$D$113:$D$118)*CE$6,2)</f>
        <v>0.16</v>
      </c>
      <c r="CF49" s="29"/>
      <c r="CG49" s="67">
        <f>ROUND(LOOKUP(AC49,'OSM - Rating and Score'!$G$94:$I$99,'OSM - Rating and Score'!$D$85:$D$90)*CG$6,2)</f>
        <v>0.3</v>
      </c>
      <c r="CH49" s="29"/>
      <c r="CI49" s="67">
        <f>ROUND(VLOOKUP(AE49,'OSM - Rating and Score'!$C$8:$D$13,2,0)*CI$6,2)</f>
        <v>0.3</v>
      </c>
      <c r="CJ49" s="29"/>
      <c r="CK49" s="67">
        <f>ROUND(VLOOKUP(AG49,'OSM - Rating and Score'!$C$8:$D$13,2,0)*CK$6,2)</f>
        <v>0.04</v>
      </c>
      <c r="CL49" s="29"/>
      <c r="CM49" s="67">
        <v>0</v>
      </c>
      <c r="CN49" s="29"/>
      <c r="CO49" s="67">
        <f>ROUND(VLOOKUP(AK49,'OSM - Rating and Score'!$C$8:$D$13,2,0)*CO$6,2)</f>
        <v>0.21</v>
      </c>
      <c r="CP49" s="29"/>
      <c r="CQ49" s="67">
        <f>ROUND(VLOOKUP(AM49,'OSM - Rating and Score'!$C$47:$D$52,2,0)*CQ$6,2)</f>
        <v>0.15</v>
      </c>
      <c r="CR49" s="29"/>
      <c r="CS49" s="67">
        <f>ROUND(VLOOKUP(AO49,'OSM - Rating and Score'!$C$47:$D$52,2,0)*CS$6,2)</f>
        <v>0.15</v>
      </c>
      <c r="CT49" s="29"/>
      <c r="CU49" s="67">
        <f>ROUND(VLOOKUP(AQ49,'OSM - Rating and Score'!$C$47:$D$52,2,0)*CU$6,2)</f>
        <v>0.2</v>
      </c>
      <c r="CV49" s="29"/>
      <c r="CW49" s="67">
        <f>ROUND(VLOOKUP(AS49,'OSM - Rating and Score'!$C$47:$D$52,2,0)*CW$6,2)</f>
        <v>0.21</v>
      </c>
      <c r="CX49" s="29"/>
      <c r="CY49" s="67">
        <f>ROUND(VLOOKUP(AU49,'OSM - Rating and Score'!$C$65:$D$70,2,0)*CY$6,2)</f>
        <v>0.2</v>
      </c>
      <c r="CZ49" s="29"/>
      <c r="DA49" s="67">
        <f>ROUND(VLOOKUP(AW49,'OSM - Rating and Score'!$C$8:$D$13,2,0)*DA$6,2)</f>
        <v>0</v>
      </c>
      <c r="DB49" s="29"/>
      <c r="DC49" s="67">
        <f>ROUND(VLOOKUP(AY49,'OSM - Rating and Score'!$C$75:$D$80,2,0)*DC$6,2)</f>
        <v>0.15</v>
      </c>
      <c r="DD49" s="29"/>
    </row>
    <row r="50" spans="2:108" ht="2.75" customHeight="1" x14ac:dyDescent="0.45">
      <c r="B50" s="29"/>
      <c r="C50" s="31"/>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L50" s="29"/>
      <c r="BM50" s="29"/>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29"/>
      <c r="CL50" s="29"/>
      <c r="CM50" s="29"/>
      <c r="CN50" s="29"/>
      <c r="CO50" s="29"/>
      <c r="CP50" s="29"/>
      <c r="CQ50" s="29"/>
      <c r="CR50" s="29"/>
      <c r="CS50" s="29"/>
      <c r="CT50" s="29"/>
      <c r="CU50" s="29"/>
      <c r="CV50" s="29"/>
      <c r="CW50" s="29"/>
      <c r="CX50" s="29"/>
      <c r="CY50" s="29"/>
      <c r="CZ50" s="29"/>
      <c r="DA50" s="29"/>
      <c r="DB50" s="29"/>
      <c r="DC50" s="29"/>
      <c r="DD50" s="29"/>
    </row>
    <row r="51" spans="2:108" x14ac:dyDescent="0.45">
      <c r="B51" s="29"/>
      <c r="C51" s="7">
        <v>23</v>
      </c>
      <c r="D51" s="29"/>
      <c r="E51" t="s">
        <v>388</v>
      </c>
      <c r="F51" s="29"/>
      <c r="G51" t="s">
        <v>391</v>
      </c>
      <c r="H51" s="29"/>
      <c r="I51" t="s">
        <v>83</v>
      </c>
      <c r="J51" s="29"/>
      <c r="K51" t="s">
        <v>83</v>
      </c>
      <c r="L51" s="29"/>
      <c r="M51" s="25"/>
      <c r="N51" s="29"/>
      <c r="O51" t="s">
        <v>112</v>
      </c>
      <c r="P51" s="29"/>
      <c r="Q51" t="s">
        <v>294</v>
      </c>
      <c r="R51" s="29"/>
      <c r="S51" t="s">
        <v>124</v>
      </c>
      <c r="T51" s="29"/>
      <c r="U51" t="s">
        <v>315</v>
      </c>
      <c r="V51" s="29"/>
      <c r="W51" s="25">
        <v>180</v>
      </c>
      <c r="X51" s="31"/>
      <c r="Y51" s="25">
        <v>10</v>
      </c>
      <c r="Z51" s="31"/>
      <c r="AA51" s="26">
        <v>0.15</v>
      </c>
      <c r="AB51" s="31"/>
      <c r="AC51" s="27">
        <f>ROUND(Y51*(1+AA51)^5,0)</f>
        <v>20</v>
      </c>
      <c r="AD51" s="29"/>
      <c r="AE51" t="s">
        <v>84</v>
      </c>
      <c r="AF51" s="29"/>
      <c r="AG51" t="s">
        <v>86</v>
      </c>
      <c r="AH51" s="29"/>
      <c r="AI51" s="60"/>
      <c r="AJ51" s="29"/>
      <c r="AK51" t="s">
        <v>84</v>
      </c>
      <c r="AL51" s="29"/>
      <c r="AM51" t="s">
        <v>148</v>
      </c>
      <c r="AN51" s="29"/>
      <c r="AO51" t="s">
        <v>148</v>
      </c>
      <c r="AP51" s="29"/>
      <c r="AQ51" t="s">
        <v>147</v>
      </c>
      <c r="AR51" s="29"/>
      <c r="AS51" t="s">
        <v>148</v>
      </c>
      <c r="AT51" s="29"/>
      <c r="AU51" t="s">
        <v>288</v>
      </c>
      <c r="AV51" s="29"/>
      <c r="AW51" t="s">
        <v>86</v>
      </c>
      <c r="AX51" s="29"/>
      <c r="AY51" t="s">
        <v>84</v>
      </c>
      <c r="AZ51" s="31"/>
      <c r="BA51" s="27" t="str">
        <f>IF(COUNTA(AY51,AW51,AU51,AS51,AQ51,AO51,AM51,AK51,AI51,AG51,AE51,AC51,AA51,Y51,W51,U51,S51,Q51,O51,K51,I51)=21,"✓","✗")</f>
        <v>✗</v>
      </c>
      <c r="BB51" s="31"/>
      <c r="BC51" s="69">
        <f>IFERROR(SUM(BM51:DC51),"")</f>
        <v>3.18</v>
      </c>
      <c r="BD51" s="31"/>
      <c r="BE51" s="27" t="str">
        <f>IFERROR(LOOKUP(BC51,'OSM - Rating and Score'!$G$103:$I$108,'OSM - Rating and Score'!$C$103:$C$108),"")</f>
        <v>Moderate</v>
      </c>
      <c r="BF51" s="31"/>
      <c r="BG51" s="7" t="s">
        <v>418</v>
      </c>
      <c r="BH51" s="7"/>
      <c r="BI51" s="7"/>
      <c r="BJ51" s="7"/>
      <c r="BK51" s="7"/>
      <c r="BL51" s="29"/>
      <c r="BM51" s="67">
        <f>ROUND(VLOOKUP(I51,'OSM - Rating and Score'!$C$8:$D$13,2,0)*BM$6,2)</f>
        <v>0</v>
      </c>
      <c r="BN51" s="29"/>
      <c r="BO51" s="67">
        <f>ROUND(VLOOKUP(K51,'OSM - Rating and Score'!$C$8:$D$13,2,0)*BO$6,2)</f>
        <v>0.2</v>
      </c>
      <c r="BP51" s="29"/>
      <c r="BQ51" s="66"/>
      <c r="BR51" s="29"/>
      <c r="BS51" s="67">
        <f>ROUND(VLOOKUP(O51,'OSM - Rating and Score'!$C$17:$D$22,2,0)*BS$6,2)</f>
        <v>0.15</v>
      </c>
      <c r="BT51" s="29"/>
      <c r="BU51" s="67">
        <f>ROUND(VLOOKUP(Q51,'OSM - Rating and Score'!$C$56:$D$61,2,0)*BU$6,2)</f>
        <v>0.28000000000000003</v>
      </c>
      <c r="BV51" s="29"/>
      <c r="BW51" s="67">
        <f>ROUND(VLOOKUP(S51,'OSM - Rating and Score'!$C$26:$D$31,2,0)*BW$6,2)</f>
        <v>0.15</v>
      </c>
      <c r="BX51" s="29"/>
      <c r="BY51" s="67">
        <f>ROUND(VLOOKUP(U51,'OSM - Rating and Score'!$C$35:$D$40,2,0)*BY$6,2)</f>
        <v>0.21</v>
      </c>
      <c r="BZ51" s="29"/>
      <c r="CA51" s="66"/>
      <c r="CB51" s="29"/>
      <c r="CC51" s="67">
        <f>ROUND(LOOKUP(Y51,'OSM - Rating and Score'!$G$85:$I$90,'OSM - Rating and Score'!$D$85:$D$90)*CC$6,2)</f>
        <v>0.3</v>
      </c>
      <c r="CD51" s="29"/>
      <c r="CE51" s="67">
        <f>ROUND(LOOKUP(AA51,'OSM - Rating and Score'!$G$113:$I$118,'OSM - Rating and Score'!$D$113:$D$118)*CE$6,2)</f>
        <v>0.08</v>
      </c>
      <c r="CF51" s="29"/>
      <c r="CG51" s="67">
        <f>ROUND(LOOKUP(AC51,'OSM - Rating and Score'!$G$94:$I$99,'OSM - Rating and Score'!$D$85:$D$90)*CG$6,2)</f>
        <v>0.2</v>
      </c>
      <c r="CH51" s="29"/>
      <c r="CI51" s="67">
        <f>ROUND(VLOOKUP(AE51,'OSM - Rating and Score'!$C$8:$D$13,2,0)*CI$6,2)</f>
        <v>0.3</v>
      </c>
      <c r="CJ51" s="29"/>
      <c r="CK51" s="67">
        <f>ROUND(VLOOKUP(AG51,'OSM - Rating and Score'!$C$8:$D$13,2,0)*CK$6,2)</f>
        <v>0.04</v>
      </c>
      <c r="CL51" s="29"/>
      <c r="CM51" s="67">
        <v>0</v>
      </c>
      <c r="CN51" s="29"/>
      <c r="CO51" s="67">
        <f>ROUND(VLOOKUP(AK51,'OSM - Rating and Score'!$C$8:$D$13,2,0)*CO$6,2)</f>
        <v>0.21</v>
      </c>
      <c r="CP51" s="29"/>
      <c r="CQ51" s="67">
        <f>ROUND(VLOOKUP(AM51,'OSM - Rating and Score'!$C$47:$D$52,2,0)*CQ$6,2)</f>
        <v>0.15</v>
      </c>
      <c r="CR51" s="29"/>
      <c r="CS51" s="67">
        <f>ROUND(VLOOKUP(AO51,'OSM - Rating and Score'!$C$47:$D$52,2,0)*CS$6,2)</f>
        <v>0.15</v>
      </c>
      <c r="CT51" s="29"/>
      <c r="CU51" s="67">
        <f>ROUND(VLOOKUP(AQ51,'OSM - Rating and Score'!$C$47:$D$52,2,0)*CU$6,2)</f>
        <v>0.2</v>
      </c>
      <c r="CV51" s="29"/>
      <c r="CW51" s="67">
        <f>ROUND(VLOOKUP(AS51,'OSM - Rating and Score'!$C$47:$D$52,2,0)*CW$6,2)</f>
        <v>0.21</v>
      </c>
      <c r="CX51" s="29"/>
      <c r="CY51" s="67">
        <f>ROUND(VLOOKUP(AU51,'OSM - Rating and Score'!$C$65:$D$70,2,0)*CY$6,2)</f>
        <v>0.2</v>
      </c>
      <c r="CZ51" s="29"/>
      <c r="DA51" s="67">
        <f>ROUND(VLOOKUP(AW51,'OSM - Rating and Score'!$C$8:$D$13,2,0)*DA$6,2)</f>
        <v>0</v>
      </c>
      <c r="DB51" s="29"/>
      <c r="DC51" s="67">
        <f>ROUND(VLOOKUP(AY51,'OSM - Rating and Score'!$C$75:$D$80,2,0)*DC$6,2)</f>
        <v>0.15</v>
      </c>
      <c r="DD51" s="29"/>
    </row>
    <row r="52" spans="2:108" ht="2.75" customHeight="1" x14ac:dyDescent="0.45">
      <c r="B52" s="29"/>
      <c r="C52" s="31"/>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L52" s="29"/>
      <c r="BM52" s="29"/>
      <c r="BN52" s="29"/>
      <c r="BO52" s="29"/>
      <c r="BP52" s="29"/>
      <c r="BQ52" s="29"/>
      <c r="BR52" s="29"/>
      <c r="BS52" s="29"/>
      <c r="BT52" s="29"/>
      <c r="BU52" s="29"/>
      <c r="BV52" s="29"/>
      <c r="BW52" s="29"/>
      <c r="BX52" s="29"/>
      <c r="BY52" s="29"/>
      <c r="BZ52" s="29"/>
      <c r="CA52" s="29"/>
      <c r="CB52" s="29"/>
      <c r="CC52" s="29"/>
      <c r="CD52" s="29"/>
      <c r="CE52" s="29"/>
      <c r="CF52" s="29"/>
      <c r="CG52" s="29"/>
      <c r="CH52" s="29"/>
      <c r="CI52" s="29"/>
      <c r="CJ52" s="29"/>
      <c r="CK52" s="29"/>
      <c r="CL52" s="29"/>
      <c r="CM52" s="29"/>
      <c r="CN52" s="29"/>
      <c r="CO52" s="29"/>
      <c r="CP52" s="29"/>
      <c r="CQ52" s="29"/>
      <c r="CR52" s="29"/>
      <c r="CS52" s="29"/>
      <c r="CT52" s="29"/>
      <c r="CU52" s="29"/>
      <c r="CV52" s="29"/>
      <c r="CW52" s="29"/>
      <c r="CX52" s="29"/>
      <c r="CY52" s="29"/>
      <c r="CZ52" s="29"/>
      <c r="DA52" s="29"/>
      <c r="DB52" s="29"/>
      <c r="DC52" s="29"/>
      <c r="DD52" s="29"/>
    </row>
    <row r="53" spans="2:108" x14ac:dyDescent="0.45">
      <c r="B53" s="29"/>
      <c r="C53" s="7">
        <v>24</v>
      </c>
      <c r="D53" s="29"/>
      <c r="E53" t="s">
        <v>388</v>
      </c>
      <c r="F53" s="29"/>
      <c r="G53" t="s">
        <v>392</v>
      </c>
      <c r="H53" s="29"/>
      <c r="I53" t="s">
        <v>83</v>
      </c>
      <c r="J53" s="29"/>
      <c r="K53" t="s">
        <v>83</v>
      </c>
      <c r="L53" s="29"/>
      <c r="M53" s="25"/>
      <c r="N53" s="29"/>
      <c r="O53" t="s">
        <v>112</v>
      </c>
      <c r="P53" s="29"/>
      <c r="Q53" t="s">
        <v>294</v>
      </c>
      <c r="R53" s="29"/>
      <c r="S53" t="s">
        <v>124</v>
      </c>
      <c r="T53" s="29"/>
      <c r="U53" t="s">
        <v>315</v>
      </c>
      <c r="V53" s="29"/>
      <c r="W53" s="25">
        <v>45</v>
      </c>
      <c r="X53" s="31"/>
      <c r="Y53" s="25">
        <v>5</v>
      </c>
      <c r="Z53" s="31"/>
      <c r="AA53" s="26">
        <v>0.1</v>
      </c>
      <c r="AB53" s="31"/>
      <c r="AC53" s="27">
        <f>ROUND(Y53*(1+AA53)^5,0)</f>
        <v>8</v>
      </c>
      <c r="AD53" s="29"/>
      <c r="AE53" t="s">
        <v>84</v>
      </c>
      <c r="AF53" s="29"/>
      <c r="AG53" t="s">
        <v>86</v>
      </c>
      <c r="AH53" s="29"/>
      <c r="AI53" s="60"/>
      <c r="AJ53" s="29"/>
      <c r="AK53" t="s">
        <v>84</v>
      </c>
      <c r="AL53" s="29"/>
      <c r="AM53" t="s">
        <v>148</v>
      </c>
      <c r="AN53" s="29"/>
      <c r="AO53" t="s">
        <v>148</v>
      </c>
      <c r="AP53" s="29"/>
      <c r="AQ53" t="s">
        <v>147</v>
      </c>
      <c r="AR53" s="29"/>
      <c r="AS53" t="s">
        <v>148</v>
      </c>
      <c r="AT53" s="29"/>
      <c r="AU53" t="s">
        <v>288</v>
      </c>
      <c r="AV53" s="29"/>
      <c r="AW53" t="s">
        <v>86</v>
      </c>
      <c r="AX53" s="29"/>
      <c r="AY53" t="s">
        <v>84</v>
      </c>
      <c r="AZ53" s="31"/>
      <c r="BA53" s="27" t="str">
        <f>IF(COUNTA(AY53,AW53,AU53,AS53,AQ53,AO53,AM53,AK53,AI53,AG53,AE53,AC53,AA53,Y53,W53,U53,S53,Q53,O53,K53,I53)=21,"✓","✗")</f>
        <v>✗</v>
      </c>
      <c r="BB53" s="31"/>
      <c r="BC53" s="69">
        <f>IFERROR(SUM(BM53:DC53),"")</f>
        <v>3.0800000000000005</v>
      </c>
      <c r="BD53" s="31"/>
      <c r="BE53" s="27" t="str">
        <f>IFERROR(LOOKUP(BC53,'OSM - Rating and Score'!$G$103:$I$108,'OSM - Rating and Score'!$C$103:$C$108),"")</f>
        <v>Moderate</v>
      </c>
      <c r="BF53" s="31"/>
      <c r="BG53" s="7" t="s">
        <v>418</v>
      </c>
      <c r="BH53" s="7"/>
      <c r="BI53" s="7"/>
      <c r="BJ53" s="7"/>
      <c r="BK53" s="7"/>
      <c r="BL53" s="29"/>
      <c r="BM53" s="67">
        <f>ROUND(VLOOKUP(I53,'OSM - Rating and Score'!$C$8:$D$13,2,0)*BM$6,2)</f>
        <v>0</v>
      </c>
      <c r="BN53" s="29"/>
      <c r="BO53" s="67">
        <f>ROUND(VLOOKUP(K53,'OSM - Rating and Score'!$C$8:$D$13,2,0)*BO$6,2)</f>
        <v>0.2</v>
      </c>
      <c r="BP53" s="29"/>
      <c r="BQ53" s="66"/>
      <c r="BR53" s="29"/>
      <c r="BS53" s="67">
        <f>ROUND(VLOOKUP(O53,'OSM - Rating and Score'!$C$17:$D$22,2,0)*BS$6,2)</f>
        <v>0.15</v>
      </c>
      <c r="BT53" s="29"/>
      <c r="BU53" s="67">
        <f>ROUND(VLOOKUP(Q53,'OSM - Rating and Score'!$C$56:$D$61,2,0)*BU$6,2)</f>
        <v>0.28000000000000003</v>
      </c>
      <c r="BV53" s="29"/>
      <c r="BW53" s="67">
        <f>ROUND(VLOOKUP(S53,'OSM - Rating and Score'!$C$26:$D$31,2,0)*BW$6,2)</f>
        <v>0.15</v>
      </c>
      <c r="BX53" s="29"/>
      <c r="BY53" s="67">
        <f>ROUND(VLOOKUP(U53,'OSM - Rating and Score'!$C$35:$D$40,2,0)*BY$6,2)</f>
        <v>0.21</v>
      </c>
      <c r="BZ53" s="29"/>
      <c r="CA53" s="66"/>
      <c r="CB53" s="29"/>
      <c r="CC53" s="67">
        <f>ROUND(LOOKUP(Y53,'OSM - Rating and Score'!$G$85:$I$90,'OSM - Rating and Score'!$D$85:$D$90)*CC$6,2)</f>
        <v>0.3</v>
      </c>
      <c r="CD53" s="29"/>
      <c r="CE53" s="67">
        <f>ROUND(LOOKUP(AA53,'OSM - Rating and Score'!$G$113:$I$118,'OSM - Rating and Score'!$D$113:$D$118)*CE$6,2)</f>
        <v>0.08</v>
      </c>
      <c r="CF53" s="29"/>
      <c r="CG53" s="67">
        <f>ROUND(LOOKUP(AC53,'OSM - Rating and Score'!$G$94:$I$99,'OSM - Rating and Score'!$D$85:$D$90)*CG$6,2)</f>
        <v>0.1</v>
      </c>
      <c r="CH53" s="29"/>
      <c r="CI53" s="67">
        <f>ROUND(VLOOKUP(AE53,'OSM - Rating and Score'!$C$8:$D$13,2,0)*CI$6,2)</f>
        <v>0.3</v>
      </c>
      <c r="CJ53" s="29"/>
      <c r="CK53" s="67">
        <f>ROUND(VLOOKUP(AG53,'OSM - Rating and Score'!$C$8:$D$13,2,0)*CK$6,2)</f>
        <v>0.04</v>
      </c>
      <c r="CL53" s="29"/>
      <c r="CM53" s="67">
        <v>0</v>
      </c>
      <c r="CN53" s="29"/>
      <c r="CO53" s="67">
        <f>ROUND(VLOOKUP(AK53,'OSM - Rating and Score'!$C$8:$D$13,2,0)*CO$6,2)</f>
        <v>0.21</v>
      </c>
      <c r="CP53" s="29"/>
      <c r="CQ53" s="67">
        <f>ROUND(VLOOKUP(AM53,'OSM - Rating and Score'!$C$47:$D$52,2,0)*CQ$6,2)</f>
        <v>0.15</v>
      </c>
      <c r="CR53" s="29"/>
      <c r="CS53" s="67">
        <f>ROUND(VLOOKUP(AO53,'OSM - Rating and Score'!$C$47:$D$52,2,0)*CS$6,2)</f>
        <v>0.15</v>
      </c>
      <c r="CT53" s="29"/>
      <c r="CU53" s="67">
        <f>ROUND(VLOOKUP(AQ53,'OSM - Rating and Score'!$C$47:$D$52,2,0)*CU$6,2)</f>
        <v>0.2</v>
      </c>
      <c r="CV53" s="29"/>
      <c r="CW53" s="67">
        <f>ROUND(VLOOKUP(AS53,'OSM - Rating and Score'!$C$47:$D$52,2,0)*CW$6,2)</f>
        <v>0.21</v>
      </c>
      <c r="CX53" s="29"/>
      <c r="CY53" s="67">
        <f>ROUND(VLOOKUP(AU53,'OSM - Rating and Score'!$C$65:$D$70,2,0)*CY$6,2)</f>
        <v>0.2</v>
      </c>
      <c r="CZ53" s="29"/>
      <c r="DA53" s="67">
        <f>ROUND(VLOOKUP(AW53,'OSM - Rating and Score'!$C$8:$D$13,2,0)*DA$6,2)</f>
        <v>0</v>
      </c>
      <c r="DB53" s="29"/>
      <c r="DC53" s="67">
        <f>ROUND(VLOOKUP(AY53,'OSM - Rating and Score'!$C$75:$D$80,2,0)*DC$6,2)</f>
        <v>0.15</v>
      </c>
      <c r="DD53" s="29"/>
    </row>
    <row r="54" spans="2:108" ht="2.75" customHeight="1" x14ac:dyDescent="0.45">
      <c r="B54" s="29"/>
      <c r="C54" s="31"/>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L54" s="29"/>
      <c r="BM54" s="29"/>
      <c r="BN54" s="29"/>
      <c r="BO54" s="29"/>
      <c r="BP54" s="29"/>
      <c r="BQ54" s="29"/>
      <c r="BR54" s="29"/>
      <c r="BS54" s="29"/>
      <c r="BT54" s="29"/>
      <c r="BU54" s="29"/>
      <c r="BV54" s="29"/>
      <c r="BW54" s="29"/>
      <c r="BX54" s="29"/>
      <c r="BY54" s="29"/>
      <c r="BZ54" s="29"/>
      <c r="CA54" s="29"/>
      <c r="CB54" s="29"/>
      <c r="CC54" s="29"/>
      <c r="CD54" s="29"/>
      <c r="CE54" s="29"/>
      <c r="CF54" s="29"/>
      <c r="CG54" s="29"/>
      <c r="CH54" s="29"/>
      <c r="CI54" s="29"/>
      <c r="CJ54" s="29"/>
      <c r="CK54" s="29"/>
      <c r="CL54" s="29"/>
      <c r="CM54" s="29"/>
      <c r="CN54" s="29"/>
      <c r="CO54" s="29"/>
      <c r="CP54" s="29"/>
      <c r="CQ54" s="29"/>
      <c r="CR54" s="29"/>
      <c r="CS54" s="29"/>
      <c r="CT54" s="29"/>
      <c r="CU54" s="29"/>
      <c r="CV54" s="29"/>
      <c r="CW54" s="29"/>
      <c r="CX54" s="29"/>
      <c r="CY54" s="29"/>
      <c r="CZ54" s="29"/>
      <c r="DA54" s="29"/>
      <c r="DB54" s="29"/>
      <c r="DC54" s="29"/>
      <c r="DD54" s="29"/>
    </row>
    <row r="55" spans="2:108" x14ac:dyDescent="0.45">
      <c r="B55" s="29"/>
      <c r="C55" s="7">
        <v>25</v>
      </c>
      <c r="D55" s="29"/>
      <c r="F55" s="29"/>
      <c r="G55" t="s">
        <v>390</v>
      </c>
      <c r="H55" s="29"/>
      <c r="I55" t="s">
        <v>83</v>
      </c>
      <c r="J55" s="29"/>
      <c r="K55" t="s">
        <v>84</v>
      </c>
      <c r="L55" s="29"/>
      <c r="M55" s="25"/>
      <c r="N55" s="29"/>
      <c r="O55" t="s">
        <v>112</v>
      </c>
      <c r="P55" s="29"/>
      <c r="Q55" t="s">
        <v>296</v>
      </c>
      <c r="R55" s="29"/>
      <c r="S55" t="s">
        <v>124</v>
      </c>
      <c r="T55" s="29"/>
      <c r="U55" t="s">
        <v>314</v>
      </c>
      <c r="V55" s="29"/>
      <c r="W55" s="25">
        <v>40</v>
      </c>
      <c r="X55" s="31"/>
      <c r="Y55" s="25">
        <v>3</v>
      </c>
      <c r="Z55" s="31"/>
      <c r="AA55" s="26">
        <v>0.35</v>
      </c>
      <c r="AB55" s="31"/>
      <c r="AC55" s="27">
        <f>ROUND(Y55*(1+AA55)^5,0)</f>
        <v>13</v>
      </c>
      <c r="AD55" s="29"/>
      <c r="AE55" t="s">
        <v>84</v>
      </c>
      <c r="AF55" s="29"/>
      <c r="AG55" t="s">
        <v>86</v>
      </c>
      <c r="AH55" s="29"/>
      <c r="AI55" s="60"/>
      <c r="AJ55" s="29"/>
      <c r="AK55" t="s">
        <v>84</v>
      </c>
      <c r="AL55" s="29"/>
      <c r="AM55" t="s">
        <v>147</v>
      </c>
      <c r="AN55" s="29"/>
      <c r="AO55" t="s">
        <v>147</v>
      </c>
      <c r="AP55" s="29"/>
      <c r="AQ55" t="s">
        <v>147</v>
      </c>
      <c r="AR55" s="29"/>
      <c r="AS55" t="s">
        <v>148</v>
      </c>
      <c r="AT55" s="29"/>
      <c r="AU55" t="s">
        <v>288</v>
      </c>
      <c r="AV55" s="29"/>
      <c r="AW55" t="s">
        <v>86</v>
      </c>
      <c r="AX55" s="29"/>
      <c r="AY55" t="s">
        <v>216</v>
      </c>
      <c r="AZ55" s="31"/>
      <c r="BA55" s="27" t="str">
        <f>IF(COUNTA(AY55,AW55,AU55,AS55,AQ55,AO55,AM55,AK55,AI55,AG55,AE55,AC55,AA55,Y55,W55,U55,S55,Q55,O55,K55,I55)=21,"✓","✗")</f>
        <v>✗</v>
      </c>
      <c r="BB55" s="31"/>
      <c r="BC55" s="69">
        <f>IFERROR(SUM(BM55:DC55),"")</f>
        <v>3.2400000000000011</v>
      </c>
      <c r="BD55" s="31"/>
      <c r="BE55" s="27" t="str">
        <f>IFERROR(LOOKUP(BC55,'OSM - Rating and Score'!$G$103:$I$108,'OSM - Rating and Score'!$C$103:$C$108),"")</f>
        <v>Moderate</v>
      </c>
      <c r="BF55" s="31"/>
      <c r="BG55" s="7" t="s">
        <v>419</v>
      </c>
      <c r="BH55" s="7"/>
      <c r="BI55" s="7"/>
      <c r="BJ55" s="7"/>
      <c r="BK55" s="7"/>
      <c r="BL55" s="29"/>
      <c r="BM55" s="67">
        <f>ROUND(VLOOKUP(I55,'OSM - Rating and Score'!$C$8:$D$13,2,0)*BM$6,2)</f>
        <v>0</v>
      </c>
      <c r="BN55" s="29"/>
      <c r="BO55" s="67">
        <f>ROUND(VLOOKUP(K55,'OSM - Rating and Score'!$C$8:$D$13,2,0)*BO$6,2)</f>
        <v>0.15</v>
      </c>
      <c r="BP55" s="29"/>
      <c r="BQ55" s="66"/>
      <c r="BR55" s="29"/>
      <c r="BS55" s="67">
        <f>ROUND(VLOOKUP(O55,'OSM - Rating and Score'!$C$17:$D$22,2,0)*BS$6,2)</f>
        <v>0.15</v>
      </c>
      <c r="BT55" s="29"/>
      <c r="BU55" s="67">
        <f>ROUND(VLOOKUP(Q55,'OSM - Rating and Score'!$C$56:$D$61,2,0)*BU$6,2)</f>
        <v>0.21</v>
      </c>
      <c r="BV55" s="29"/>
      <c r="BW55" s="67">
        <f>ROUND(VLOOKUP(S55,'OSM - Rating and Score'!$C$26:$D$31,2,0)*BW$6,2)</f>
        <v>0.15</v>
      </c>
      <c r="BX55" s="29"/>
      <c r="BY55" s="67">
        <f>ROUND(VLOOKUP(U55,'OSM - Rating and Score'!$C$35:$D$40,2,0)*BY$6,2)</f>
        <v>0.28000000000000003</v>
      </c>
      <c r="BZ55" s="29"/>
      <c r="CA55" s="66"/>
      <c r="CB55" s="29"/>
      <c r="CC55" s="67">
        <f>ROUND(LOOKUP(Y55,'OSM - Rating and Score'!$G$85:$I$90,'OSM - Rating and Score'!$D$85:$D$90)*CC$6,2)</f>
        <v>0.2</v>
      </c>
      <c r="CD55" s="29"/>
      <c r="CE55" s="67">
        <f>ROUND(LOOKUP(AA55,'OSM - Rating and Score'!$G$113:$I$118,'OSM - Rating and Score'!$D$113:$D$118)*CE$6,2)</f>
        <v>0.24</v>
      </c>
      <c r="CF55" s="29"/>
      <c r="CG55" s="67">
        <f>ROUND(LOOKUP(AC55,'OSM - Rating and Score'!$G$94:$I$99,'OSM - Rating and Score'!$D$85:$D$90)*CG$6,2)</f>
        <v>0.1</v>
      </c>
      <c r="CH55" s="29"/>
      <c r="CI55" s="67">
        <f>ROUND(VLOOKUP(AE55,'OSM - Rating and Score'!$C$8:$D$13,2,0)*CI$6,2)</f>
        <v>0.3</v>
      </c>
      <c r="CJ55" s="29"/>
      <c r="CK55" s="67">
        <f>ROUND(VLOOKUP(AG55,'OSM - Rating and Score'!$C$8:$D$13,2,0)*CK$6,2)</f>
        <v>0.04</v>
      </c>
      <c r="CL55" s="29"/>
      <c r="CM55" s="67">
        <v>0</v>
      </c>
      <c r="CN55" s="29"/>
      <c r="CO55" s="67">
        <f>ROUND(VLOOKUP(AK55,'OSM - Rating and Score'!$C$8:$D$13,2,0)*CO$6,2)</f>
        <v>0.21</v>
      </c>
      <c r="CP55" s="29"/>
      <c r="CQ55" s="67">
        <f>ROUND(VLOOKUP(AM55,'OSM - Rating and Score'!$C$47:$D$52,2,0)*CQ$6,2)</f>
        <v>0.2</v>
      </c>
      <c r="CR55" s="29"/>
      <c r="CS55" s="67">
        <f>ROUND(VLOOKUP(AO55,'OSM - Rating and Score'!$C$47:$D$52,2,0)*CS$6,2)</f>
        <v>0.2</v>
      </c>
      <c r="CT55" s="29"/>
      <c r="CU55" s="67">
        <f>ROUND(VLOOKUP(AQ55,'OSM - Rating and Score'!$C$47:$D$52,2,0)*CU$6,2)</f>
        <v>0.2</v>
      </c>
      <c r="CV55" s="29"/>
      <c r="CW55" s="67">
        <f>ROUND(VLOOKUP(AS55,'OSM - Rating and Score'!$C$47:$D$52,2,0)*CW$6,2)</f>
        <v>0.21</v>
      </c>
      <c r="CX55" s="29"/>
      <c r="CY55" s="67">
        <f>ROUND(VLOOKUP(AU55,'OSM - Rating and Score'!$C$65:$D$70,2,0)*CY$6,2)</f>
        <v>0.2</v>
      </c>
      <c r="CZ55" s="29"/>
      <c r="DA55" s="67">
        <f>ROUND(VLOOKUP(AW55,'OSM - Rating and Score'!$C$8:$D$13,2,0)*DA$6,2)</f>
        <v>0</v>
      </c>
      <c r="DB55" s="29"/>
      <c r="DC55" s="67">
        <f>ROUND(VLOOKUP(AY55,'OSM - Rating and Score'!$C$75:$D$80,2,0)*DC$6,2)</f>
        <v>0.2</v>
      </c>
      <c r="DD55" s="29"/>
    </row>
    <row r="56" spans="2:108" ht="2.75" customHeight="1" x14ac:dyDescent="0.45">
      <c r="B56" s="29"/>
      <c r="C56" s="31"/>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L56" s="29"/>
      <c r="BM56" s="29"/>
      <c r="BN56" s="29"/>
      <c r="BO56" s="29"/>
      <c r="BP56" s="29"/>
      <c r="BQ56" s="29"/>
      <c r="BR56" s="29"/>
      <c r="BS56" s="29"/>
      <c r="BT56" s="29"/>
      <c r="BU56" s="29"/>
      <c r="BV56" s="29"/>
      <c r="BW56" s="29"/>
      <c r="BX56" s="29"/>
      <c r="BY56" s="29"/>
      <c r="BZ56" s="29"/>
      <c r="CA56" s="29"/>
      <c r="CB56" s="29"/>
      <c r="CC56" s="29"/>
      <c r="CD56" s="29"/>
      <c r="CE56" s="29"/>
      <c r="CF56" s="29"/>
      <c r="CG56" s="29"/>
      <c r="CH56" s="29"/>
      <c r="CI56" s="29"/>
      <c r="CJ56" s="29"/>
      <c r="CK56" s="29"/>
      <c r="CL56" s="29"/>
      <c r="CM56" s="29"/>
      <c r="CN56" s="29"/>
      <c r="CO56" s="29"/>
      <c r="CP56" s="29"/>
      <c r="CQ56" s="29"/>
      <c r="CR56" s="29"/>
      <c r="CS56" s="29"/>
      <c r="CT56" s="29"/>
      <c r="CU56" s="29"/>
      <c r="CV56" s="29"/>
      <c r="CW56" s="29"/>
      <c r="CX56" s="29"/>
      <c r="CY56" s="29"/>
      <c r="CZ56" s="29"/>
      <c r="DA56" s="29"/>
      <c r="DB56" s="29"/>
      <c r="DC56" s="29"/>
      <c r="DD56" s="29"/>
    </row>
    <row r="57" spans="2:108" x14ac:dyDescent="0.45">
      <c r="B57" s="29"/>
      <c r="C57" s="7">
        <v>26</v>
      </c>
      <c r="D57" s="29"/>
      <c r="F57" s="29"/>
      <c r="G57" t="s">
        <v>393</v>
      </c>
      <c r="H57" s="29"/>
      <c r="I57" t="s">
        <v>84</v>
      </c>
      <c r="J57" s="29"/>
      <c r="K57" t="s">
        <v>83</v>
      </c>
      <c r="L57" s="29"/>
      <c r="M57" s="25"/>
      <c r="N57" s="29"/>
      <c r="O57" t="s">
        <v>112</v>
      </c>
      <c r="P57" s="29"/>
      <c r="Q57" t="s">
        <v>294</v>
      </c>
      <c r="R57" s="29"/>
      <c r="S57" t="s">
        <v>124</v>
      </c>
      <c r="T57" s="29"/>
      <c r="U57" t="s">
        <v>313</v>
      </c>
      <c r="V57" s="29"/>
      <c r="W57" s="25">
        <v>20</v>
      </c>
      <c r="X57" s="31"/>
      <c r="Y57" s="25">
        <v>2</v>
      </c>
      <c r="Z57" s="31"/>
      <c r="AA57" s="26">
        <v>0.2</v>
      </c>
      <c r="AB57" s="31"/>
      <c r="AC57" s="27">
        <f>ROUND(Y57*(1+AA57)^5,0)</f>
        <v>5</v>
      </c>
      <c r="AD57" s="29"/>
      <c r="AE57" t="s">
        <v>83</v>
      </c>
      <c r="AF57" s="29"/>
      <c r="AG57" t="s">
        <v>86</v>
      </c>
      <c r="AH57" s="29"/>
      <c r="AI57" s="60"/>
      <c r="AJ57" s="29"/>
      <c r="AK57" t="s">
        <v>84</v>
      </c>
      <c r="AL57" s="29"/>
      <c r="AM57" t="s">
        <v>147</v>
      </c>
      <c r="AN57" s="29"/>
      <c r="AO57" t="s">
        <v>147</v>
      </c>
      <c r="AP57" s="29"/>
      <c r="AQ57" t="s">
        <v>147</v>
      </c>
      <c r="AR57" s="29"/>
      <c r="AS57" t="s">
        <v>148</v>
      </c>
      <c r="AT57" s="29"/>
      <c r="AU57" t="s">
        <v>288</v>
      </c>
      <c r="AV57" s="29"/>
      <c r="AW57" t="s">
        <v>86</v>
      </c>
      <c r="AX57" s="29"/>
      <c r="AY57" t="s">
        <v>216</v>
      </c>
      <c r="AZ57" s="31"/>
      <c r="BA57" s="27" t="str">
        <f>IF(COUNTA(AY57,AW57,AU57,AS57,AQ57,AO57,AM57,AK57,AI57,AG57,AE57,AC57,AA57,Y57,W57,U57,S57,Q57,O57,K57,I57)=21,"✓","✗")</f>
        <v>✗</v>
      </c>
      <c r="BB57" s="31"/>
      <c r="BC57" s="69">
        <f>IFERROR(SUM(BM57:DC57),"")</f>
        <v>3.4500000000000006</v>
      </c>
      <c r="BD57" s="31"/>
      <c r="BE57" s="27" t="str">
        <f>IFERROR(LOOKUP(BC57,'OSM - Rating and Score'!$G$103:$I$108,'OSM - Rating and Score'!$C$103:$C$108),"")</f>
        <v>Moderate</v>
      </c>
      <c r="BF57" s="31"/>
      <c r="BG57" s="7" t="s">
        <v>420</v>
      </c>
      <c r="BH57" s="7"/>
      <c r="BI57" s="7"/>
      <c r="BJ57" s="7"/>
      <c r="BK57" s="7"/>
      <c r="BL57" s="29"/>
      <c r="BM57" s="67">
        <f>ROUND(VLOOKUP(I57,'OSM - Rating and Score'!$C$8:$D$13,2,0)*BM$6,2)</f>
        <v>0</v>
      </c>
      <c r="BN57" s="29"/>
      <c r="BO57" s="67">
        <f>ROUND(VLOOKUP(K57,'OSM - Rating and Score'!$C$8:$D$13,2,0)*BO$6,2)</f>
        <v>0.2</v>
      </c>
      <c r="BP57" s="29"/>
      <c r="BQ57" s="66"/>
      <c r="BR57" s="29"/>
      <c r="BS57" s="67">
        <f>ROUND(VLOOKUP(O57,'OSM - Rating and Score'!$C$17:$D$22,2,0)*BS$6,2)</f>
        <v>0.15</v>
      </c>
      <c r="BT57" s="29"/>
      <c r="BU57" s="67">
        <f>ROUND(VLOOKUP(Q57,'OSM - Rating and Score'!$C$56:$D$61,2,0)*BU$6,2)</f>
        <v>0.28000000000000003</v>
      </c>
      <c r="BV57" s="29"/>
      <c r="BW57" s="67">
        <f>ROUND(VLOOKUP(S57,'OSM - Rating and Score'!$C$26:$D$31,2,0)*BW$6,2)</f>
        <v>0.15</v>
      </c>
      <c r="BX57" s="29"/>
      <c r="BY57" s="67">
        <f>ROUND(VLOOKUP(U57,'OSM - Rating and Score'!$C$35:$D$40,2,0)*BY$6,2)</f>
        <v>0.35</v>
      </c>
      <c r="BZ57" s="29"/>
      <c r="CA57" s="66"/>
      <c r="CB57" s="29"/>
      <c r="CC57" s="67">
        <f>ROUND(LOOKUP(Y57,'OSM - Rating and Score'!$G$85:$I$90,'OSM - Rating and Score'!$D$85:$D$90)*CC$6,2)</f>
        <v>0.2</v>
      </c>
      <c r="CD57" s="29"/>
      <c r="CE57" s="67">
        <f>ROUND(LOOKUP(AA57,'OSM - Rating and Score'!$G$113:$I$118,'OSM - Rating and Score'!$D$113:$D$118)*CE$6,2)</f>
        <v>0.16</v>
      </c>
      <c r="CF57" s="29"/>
      <c r="CG57" s="67">
        <f>ROUND(LOOKUP(AC57,'OSM - Rating and Score'!$G$94:$I$99,'OSM - Rating and Score'!$D$85:$D$90)*CG$6,2)</f>
        <v>0.1</v>
      </c>
      <c r="CH57" s="29"/>
      <c r="CI57" s="67">
        <f>ROUND(VLOOKUP(AE57,'OSM - Rating and Score'!$C$8:$D$13,2,0)*CI$6,2)</f>
        <v>0.4</v>
      </c>
      <c r="CJ57" s="29"/>
      <c r="CK57" s="67">
        <f>ROUND(VLOOKUP(AG57,'OSM - Rating and Score'!$C$8:$D$13,2,0)*CK$6,2)</f>
        <v>0.04</v>
      </c>
      <c r="CL57" s="29"/>
      <c r="CM57" s="67">
        <v>0</v>
      </c>
      <c r="CN57" s="29"/>
      <c r="CO57" s="67">
        <f>ROUND(VLOOKUP(AK57,'OSM - Rating and Score'!$C$8:$D$13,2,0)*CO$6,2)</f>
        <v>0.21</v>
      </c>
      <c r="CP57" s="29"/>
      <c r="CQ57" s="67">
        <f>ROUND(VLOOKUP(AM57,'OSM - Rating and Score'!$C$47:$D$52,2,0)*CQ$6,2)</f>
        <v>0.2</v>
      </c>
      <c r="CR57" s="29"/>
      <c r="CS57" s="67">
        <f>ROUND(VLOOKUP(AO57,'OSM - Rating and Score'!$C$47:$D$52,2,0)*CS$6,2)</f>
        <v>0.2</v>
      </c>
      <c r="CT57" s="29"/>
      <c r="CU57" s="67">
        <f>ROUND(VLOOKUP(AQ57,'OSM - Rating and Score'!$C$47:$D$52,2,0)*CU$6,2)</f>
        <v>0.2</v>
      </c>
      <c r="CV57" s="29"/>
      <c r="CW57" s="67">
        <f>ROUND(VLOOKUP(AS57,'OSM - Rating and Score'!$C$47:$D$52,2,0)*CW$6,2)</f>
        <v>0.21</v>
      </c>
      <c r="CX57" s="29"/>
      <c r="CY57" s="67">
        <f>ROUND(VLOOKUP(AU57,'OSM - Rating and Score'!$C$65:$D$70,2,0)*CY$6,2)</f>
        <v>0.2</v>
      </c>
      <c r="CZ57" s="29"/>
      <c r="DA57" s="67">
        <f>ROUND(VLOOKUP(AW57,'OSM - Rating and Score'!$C$8:$D$13,2,0)*DA$6,2)</f>
        <v>0</v>
      </c>
      <c r="DB57" s="29"/>
      <c r="DC57" s="67">
        <f>ROUND(VLOOKUP(AY57,'OSM - Rating and Score'!$C$75:$D$80,2,0)*DC$6,2)</f>
        <v>0.2</v>
      </c>
      <c r="DD57" s="29"/>
    </row>
    <row r="58" spans="2:108" ht="2.75" customHeight="1" x14ac:dyDescent="0.45">
      <c r="B58" s="29"/>
      <c r="C58" s="7">
        <v>27</v>
      </c>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L58" s="29"/>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c r="CU58" s="29"/>
      <c r="CV58" s="29"/>
      <c r="CW58" s="29"/>
      <c r="CX58" s="29"/>
      <c r="CY58" s="29"/>
      <c r="CZ58" s="29"/>
      <c r="DA58" s="29"/>
      <c r="DB58" s="29"/>
      <c r="DC58" s="29"/>
      <c r="DD58" s="29"/>
    </row>
    <row r="59" spans="2:108" x14ac:dyDescent="0.45">
      <c r="B59" s="29"/>
      <c r="C59" s="31"/>
      <c r="D59" s="29"/>
      <c r="F59" s="29"/>
      <c r="G59" t="s">
        <v>394</v>
      </c>
      <c r="H59" s="29"/>
      <c r="I59" t="s">
        <v>84</v>
      </c>
      <c r="J59" s="29"/>
      <c r="K59" t="s">
        <v>84</v>
      </c>
      <c r="L59" s="29"/>
      <c r="M59" s="25"/>
      <c r="N59" s="29"/>
      <c r="O59" t="s">
        <v>112</v>
      </c>
      <c r="P59" s="29"/>
      <c r="Q59" t="s">
        <v>296</v>
      </c>
      <c r="R59" s="29"/>
      <c r="S59" t="s">
        <v>126</v>
      </c>
      <c r="T59" s="29"/>
      <c r="U59" t="s">
        <v>314</v>
      </c>
      <c r="V59" s="29"/>
      <c r="W59" s="25">
        <v>25</v>
      </c>
      <c r="X59" s="31"/>
      <c r="Y59" s="25">
        <v>2</v>
      </c>
      <c r="Z59" s="31"/>
      <c r="AA59" s="26">
        <v>0.2</v>
      </c>
      <c r="AB59" s="31"/>
      <c r="AC59" s="27">
        <f t="shared" ref="AC59:AC75" si="0">ROUND(Y59*(1+AA59)^5,0)</f>
        <v>5</v>
      </c>
      <c r="AD59" s="29"/>
      <c r="AE59" t="s">
        <v>84</v>
      </c>
      <c r="AF59" s="29"/>
      <c r="AG59" t="s">
        <v>86</v>
      </c>
      <c r="AH59" s="29"/>
      <c r="AI59" s="60"/>
      <c r="AJ59" s="29"/>
      <c r="AK59" t="s">
        <v>84</v>
      </c>
      <c r="AL59" s="29"/>
      <c r="AM59" t="s">
        <v>147</v>
      </c>
      <c r="AN59" s="29"/>
      <c r="AO59" t="s">
        <v>148</v>
      </c>
      <c r="AP59" s="29"/>
      <c r="AQ59" t="s">
        <v>147</v>
      </c>
      <c r="AR59" s="29"/>
      <c r="AS59" t="s">
        <v>148</v>
      </c>
      <c r="AT59" s="29"/>
      <c r="AU59" t="s">
        <v>288</v>
      </c>
      <c r="AV59" s="29"/>
      <c r="AW59" t="s">
        <v>86</v>
      </c>
      <c r="AX59" s="29"/>
      <c r="AY59" t="s">
        <v>216</v>
      </c>
      <c r="AZ59" s="31"/>
      <c r="BA59" s="27" t="str">
        <f t="shared" ref="BA59:BA75" si="1">IF(COUNTA(AY59,AW59,AU59,AS59,AQ59,AO59,AM59,AK59,AI59,AG59,AE59,AC59,AA59,Y59,W59,U59,S59,Q59,O59,K59,I59)=21,"✓","✗")</f>
        <v>✗</v>
      </c>
      <c r="BB59" s="31"/>
      <c r="BC59" s="69">
        <f t="shared" ref="BC59:BC75" si="2">IFERROR(SUM(BM59:DC59),"")</f>
        <v>3.0600000000000005</v>
      </c>
      <c r="BD59" s="31"/>
      <c r="BE59" s="27" t="str">
        <f>IFERROR(LOOKUP(BC59,'OSM - Rating and Score'!$G$103:$I$108,'OSM - Rating and Score'!$C$103:$C$108),"")</f>
        <v>Moderate</v>
      </c>
      <c r="BF59" s="31"/>
      <c r="BG59" s="7"/>
      <c r="BH59" s="7"/>
      <c r="BI59" s="7"/>
      <c r="BJ59" s="7"/>
      <c r="BK59" s="7"/>
      <c r="BL59" s="29"/>
      <c r="BM59" s="67">
        <f>ROUND(VLOOKUP(I59,'OSM - Rating and Score'!$C$8:$D$13,2,0)*BM$6,2)</f>
        <v>0</v>
      </c>
      <c r="BN59" s="29"/>
      <c r="BO59" s="67">
        <f>ROUND(VLOOKUP(K59,'OSM - Rating and Score'!$C$8:$D$13,2,0)*BO$6,2)</f>
        <v>0.15</v>
      </c>
      <c r="BP59" s="29"/>
      <c r="BQ59" s="66"/>
      <c r="BR59" s="29"/>
      <c r="BS59" s="67">
        <f>ROUND(VLOOKUP(O59,'OSM - Rating and Score'!$C$17:$D$22,2,0)*BS$6,2)</f>
        <v>0.15</v>
      </c>
      <c r="BT59" s="29"/>
      <c r="BU59" s="67">
        <f>ROUND(VLOOKUP(Q59,'OSM - Rating and Score'!$C$56:$D$61,2,0)*BU$6,2)</f>
        <v>0.21</v>
      </c>
      <c r="BV59" s="29"/>
      <c r="BW59" s="67">
        <f>ROUND(VLOOKUP(S59,'OSM - Rating and Score'!$C$26:$D$31,2,0)*BW$6,2)</f>
        <v>0.1</v>
      </c>
      <c r="BX59" s="29"/>
      <c r="BY59" s="67">
        <f>ROUND(VLOOKUP(U59,'OSM - Rating and Score'!$C$35:$D$40,2,0)*BY$6,2)</f>
        <v>0.28000000000000003</v>
      </c>
      <c r="BZ59" s="29"/>
      <c r="CA59" s="66"/>
      <c r="CB59" s="29"/>
      <c r="CC59" s="67">
        <f>ROUND(LOOKUP(Y59,'OSM - Rating and Score'!$G$85:$I$90,'OSM - Rating and Score'!$D$85:$D$90)*CC$6,2)</f>
        <v>0.2</v>
      </c>
      <c r="CD59" s="29"/>
      <c r="CE59" s="67">
        <f>ROUND(LOOKUP(AA59,'OSM - Rating and Score'!$G$113:$I$118,'OSM - Rating and Score'!$D$113:$D$118)*CE$6,2)</f>
        <v>0.16</v>
      </c>
      <c r="CF59" s="29"/>
      <c r="CG59" s="67">
        <f>ROUND(LOOKUP(AC59,'OSM - Rating and Score'!$G$94:$I$99,'OSM - Rating and Score'!$D$85:$D$90)*CG$6,2)</f>
        <v>0.1</v>
      </c>
      <c r="CH59" s="29"/>
      <c r="CI59" s="67">
        <f>ROUND(VLOOKUP(AE59,'OSM - Rating and Score'!$C$8:$D$13,2,0)*CI$6,2)</f>
        <v>0.3</v>
      </c>
      <c r="CJ59" s="29"/>
      <c r="CK59" s="67">
        <f>ROUND(VLOOKUP(AG59,'OSM - Rating and Score'!$C$8:$D$13,2,0)*CK$6,2)</f>
        <v>0.04</v>
      </c>
      <c r="CL59" s="29"/>
      <c r="CM59" s="67">
        <v>0</v>
      </c>
      <c r="CN59" s="29"/>
      <c r="CO59" s="67">
        <f>ROUND(VLOOKUP(AK59,'OSM - Rating and Score'!$C$8:$D$13,2,0)*CO$6,2)</f>
        <v>0.21</v>
      </c>
      <c r="CP59" s="29"/>
      <c r="CQ59" s="67">
        <f>ROUND(VLOOKUP(AM59,'OSM - Rating and Score'!$C$47:$D$52,2,0)*CQ$6,2)</f>
        <v>0.2</v>
      </c>
      <c r="CR59" s="29"/>
      <c r="CS59" s="67">
        <f>ROUND(VLOOKUP(AO59,'OSM - Rating and Score'!$C$47:$D$52,2,0)*CS$6,2)</f>
        <v>0.15</v>
      </c>
      <c r="CT59" s="29"/>
      <c r="CU59" s="67">
        <f>ROUND(VLOOKUP(AQ59,'OSM - Rating and Score'!$C$47:$D$52,2,0)*CU$6,2)</f>
        <v>0.2</v>
      </c>
      <c r="CV59" s="29"/>
      <c r="CW59" s="67">
        <f>ROUND(VLOOKUP(AS59,'OSM - Rating and Score'!$C$47:$D$52,2,0)*CW$6,2)</f>
        <v>0.21</v>
      </c>
      <c r="CX59" s="29"/>
      <c r="CY59" s="67">
        <f>ROUND(VLOOKUP(AU59,'OSM - Rating and Score'!$C$65:$D$70,2,0)*CY$6,2)</f>
        <v>0.2</v>
      </c>
      <c r="CZ59" s="29"/>
      <c r="DA59" s="67">
        <f>ROUND(VLOOKUP(AW59,'OSM - Rating and Score'!$C$8:$D$13,2,0)*DA$6,2)</f>
        <v>0</v>
      </c>
      <c r="DB59" s="29"/>
      <c r="DC59" s="67">
        <f>ROUND(VLOOKUP(AY59,'OSM - Rating and Score'!$C$75:$D$80,2,0)*DC$6,2)</f>
        <v>0.2</v>
      </c>
      <c r="DD59" s="29"/>
    </row>
    <row r="60" spans="2:108" x14ac:dyDescent="0.45">
      <c r="B60" s="29"/>
      <c r="C60" s="7">
        <v>28</v>
      </c>
      <c r="D60" s="29"/>
      <c r="F60" s="29"/>
      <c r="G60" s="29" t="s">
        <v>395</v>
      </c>
      <c r="H60" s="29"/>
      <c r="I60" t="s">
        <v>84</v>
      </c>
      <c r="J60" s="29"/>
      <c r="K60" t="s">
        <v>85</v>
      </c>
      <c r="L60" s="29"/>
      <c r="M60" s="25"/>
      <c r="N60" s="29"/>
      <c r="O60" t="s">
        <v>114</v>
      </c>
      <c r="P60" s="29"/>
      <c r="Q60" t="s">
        <v>296</v>
      </c>
      <c r="R60" s="29"/>
      <c r="S60" t="s">
        <v>126</v>
      </c>
      <c r="T60" s="29"/>
      <c r="U60" t="s">
        <v>314</v>
      </c>
      <c r="V60" s="29"/>
      <c r="W60" s="25">
        <v>180</v>
      </c>
      <c r="X60" s="31"/>
      <c r="Y60" s="25">
        <v>4</v>
      </c>
      <c r="Z60" s="31"/>
      <c r="AA60" s="26">
        <v>0.25</v>
      </c>
      <c r="AB60" s="31"/>
      <c r="AC60" s="27">
        <f t="shared" si="0"/>
        <v>12</v>
      </c>
      <c r="AD60" s="29"/>
      <c r="AE60" t="s">
        <v>85</v>
      </c>
      <c r="AF60" s="29"/>
      <c r="AG60" t="s">
        <v>86</v>
      </c>
      <c r="AH60" s="29"/>
      <c r="AI60" s="60"/>
      <c r="AJ60" s="29"/>
      <c r="AK60" t="s">
        <v>84</v>
      </c>
      <c r="AL60" s="29"/>
      <c r="AM60" t="s">
        <v>147</v>
      </c>
      <c r="AN60" s="29"/>
      <c r="AO60" t="s">
        <v>148</v>
      </c>
      <c r="AP60" s="29"/>
      <c r="AQ60" t="s">
        <v>148</v>
      </c>
      <c r="AR60" s="29"/>
      <c r="AS60" t="s">
        <v>149</v>
      </c>
      <c r="AT60" s="29"/>
      <c r="AU60" t="s">
        <v>148</v>
      </c>
      <c r="AV60" s="29"/>
      <c r="AW60" t="s">
        <v>86</v>
      </c>
      <c r="AX60" s="29"/>
      <c r="AY60" t="s">
        <v>216</v>
      </c>
      <c r="AZ60" s="31"/>
      <c r="BA60" s="27" t="str">
        <f t="shared" si="1"/>
        <v>✗</v>
      </c>
      <c r="BB60" s="31"/>
      <c r="BC60" s="69">
        <f t="shared" si="2"/>
        <v>2.69</v>
      </c>
      <c r="BD60" s="31"/>
      <c r="BE60" s="27" t="str">
        <f>IFERROR(LOOKUP(BC60,'OSM - Rating and Score'!$G$103:$I$108,'OSM - Rating and Score'!$C$103:$C$108),"")</f>
        <v>Moderate</v>
      </c>
      <c r="BF60" s="31"/>
      <c r="BG60" s="7" t="s">
        <v>421</v>
      </c>
      <c r="BH60" s="7"/>
      <c r="BI60" s="7"/>
      <c r="BJ60" s="7"/>
      <c r="BK60" s="7"/>
      <c r="BL60" s="29"/>
      <c r="BM60" s="67">
        <f>ROUND(VLOOKUP(I60,'OSM - Rating and Score'!$C$8:$D$13,2,0)*BM$6,2)</f>
        <v>0</v>
      </c>
      <c r="BN60" s="29"/>
      <c r="BO60" s="67">
        <f>ROUND(VLOOKUP(K60,'OSM - Rating and Score'!$C$8:$D$13,2,0)*BO$6,2)</f>
        <v>0.1</v>
      </c>
      <c r="BP60" s="29"/>
      <c r="BQ60" s="66"/>
      <c r="BR60" s="29"/>
      <c r="BS60" s="67">
        <f>ROUND(VLOOKUP(O60,'OSM - Rating and Score'!$C$17:$D$22,2,0)*BS$6,2)</f>
        <v>0.1</v>
      </c>
      <c r="BT60" s="29"/>
      <c r="BU60" s="67">
        <f>ROUND(VLOOKUP(Q60,'OSM - Rating and Score'!$C$56:$D$61,2,0)*BU$6,2)</f>
        <v>0.21</v>
      </c>
      <c r="BV60" s="29"/>
      <c r="BW60" s="67">
        <f>ROUND(VLOOKUP(S60,'OSM - Rating and Score'!$C$26:$D$31,2,0)*BW$6,2)</f>
        <v>0.1</v>
      </c>
      <c r="BX60" s="29"/>
      <c r="BY60" s="67">
        <f>ROUND(VLOOKUP(U60,'OSM - Rating and Score'!$C$35:$D$40,2,0)*BY$6,2)</f>
        <v>0.28000000000000003</v>
      </c>
      <c r="BZ60" s="29"/>
      <c r="CA60" s="66"/>
      <c r="CB60" s="29"/>
      <c r="CC60" s="67">
        <f>ROUND(LOOKUP(Y60,'OSM - Rating and Score'!$G$85:$I$90,'OSM - Rating and Score'!$D$85:$D$90)*CC$6,2)</f>
        <v>0.2</v>
      </c>
      <c r="CD60" s="29"/>
      <c r="CE60" s="67">
        <f>ROUND(LOOKUP(AA60,'OSM - Rating and Score'!$G$113:$I$118,'OSM - Rating and Score'!$D$113:$D$118)*CE$6,2)</f>
        <v>0.16</v>
      </c>
      <c r="CF60" s="29"/>
      <c r="CG60" s="67">
        <f>ROUND(LOOKUP(AC60,'OSM - Rating and Score'!$G$94:$I$99,'OSM - Rating and Score'!$D$85:$D$90)*CG$6,2)</f>
        <v>0.1</v>
      </c>
      <c r="CH60" s="29"/>
      <c r="CI60" s="67">
        <f>ROUND(VLOOKUP(AE60,'OSM - Rating and Score'!$C$8:$D$13,2,0)*CI$6,2)</f>
        <v>0.2</v>
      </c>
      <c r="CJ60" s="29"/>
      <c r="CK60" s="67">
        <f>ROUND(VLOOKUP(AG60,'OSM - Rating and Score'!$C$8:$D$13,2,0)*CK$6,2)</f>
        <v>0.04</v>
      </c>
      <c r="CL60" s="29"/>
      <c r="CM60" s="67">
        <v>0</v>
      </c>
      <c r="CN60" s="29"/>
      <c r="CO60" s="67">
        <f>ROUND(VLOOKUP(AK60,'OSM - Rating and Score'!$C$8:$D$13,2,0)*CO$6,2)</f>
        <v>0.21</v>
      </c>
      <c r="CP60" s="29"/>
      <c r="CQ60" s="67">
        <f>ROUND(VLOOKUP(AM60,'OSM - Rating and Score'!$C$47:$D$52,2,0)*CQ$6,2)</f>
        <v>0.2</v>
      </c>
      <c r="CR60" s="29"/>
      <c r="CS60" s="67">
        <f>ROUND(VLOOKUP(AO60,'OSM - Rating and Score'!$C$47:$D$52,2,0)*CS$6,2)</f>
        <v>0.15</v>
      </c>
      <c r="CT60" s="29"/>
      <c r="CU60" s="67">
        <f>ROUND(VLOOKUP(AQ60,'OSM - Rating and Score'!$C$47:$D$52,2,0)*CU$6,2)</f>
        <v>0.15</v>
      </c>
      <c r="CV60" s="29"/>
      <c r="CW60" s="67">
        <f>ROUND(VLOOKUP(AS60,'OSM - Rating and Score'!$C$47:$D$52,2,0)*CW$6,2)</f>
        <v>0.14000000000000001</v>
      </c>
      <c r="CX60" s="29"/>
      <c r="CY60" s="67">
        <f>ROUND(VLOOKUP(AU60,'OSM - Rating and Score'!$C$65:$D$70,2,0)*CY$6,2)</f>
        <v>0.15</v>
      </c>
      <c r="CZ60" s="29"/>
      <c r="DA60" s="67">
        <f>ROUND(VLOOKUP(AW60,'OSM - Rating and Score'!$C$8:$D$13,2,0)*DA$6,2)</f>
        <v>0</v>
      </c>
      <c r="DB60" s="29"/>
      <c r="DC60" s="67">
        <f>ROUND(VLOOKUP(AY60,'OSM - Rating and Score'!$C$75:$D$80,2,0)*DC$6,2)</f>
        <v>0.2</v>
      </c>
      <c r="DD60" s="29"/>
    </row>
    <row r="61" spans="2:108" x14ac:dyDescent="0.45">
      <c r="B61" s="29"/>
      <c r="C61" s="31"/>
      <c r="D61" s="29"/>
      <c r="F61" s="29"/>
      <c r="G61" t="s">
        <v>396</v>
      </c>
      <c r="H61" s="29"/>
      <c r="I61" t="s">
        <v>84</v>
      </c>
      <c r="J61" s="29"/>
      <c r="K61" t="s">
        <v>84</v>
      </c>
      <c r="L61" s="29"/>
      <c r="M61" s="25"/>
      <c r="N61" s="29"/>
      <c r="O61" t="s">
        <v>114</v>
      </c>
      <c r="P61" s="29"/>
      <c r="Q61" t="s">
        <v>294</v>
      </c>
      <c r="R61" s="29"/>
      <c r="S61" t="s">
        <v>126</v>
      </c>
      <c r="T61" s="29"/>
      <c r="U61" t="s">
        <v>315</v>
      </c>
      <c r="V61" s="29"/>
      <c r="W61" s="25">
        <v>200</v>
      </c>
      <c r="X61" s="31"/>
      <c r="Y61" s="25">
        <v>5</v>
      </c>
      <c r="Z61" s="31"/>
      <c r="AA61" s="26">
        <v>0.3</v>
      </c>
      <c r="AB61" s="31"/>
      <c r="AC61" s="27">
        <f t="shared" si="0"/>
        <v>19</v>
      </c>
      <c r="AD61" s="29"/>
      <c r="AE61" t="s">
        <v>83</v>
      </c>
      <c r="AF61" s="29"/>
      <c r="AG61" t="s">
        <v>86</v>
      </c>
      <c r="AH61" s="29"/>
      <c r="AI61" s="60">
        <v>3</v>
      </c>
      <c r="AJ61" s="29"/>
      <c r="AK61" t="s">
        <v>84</v>
      </c>
      <c r="AL61" s="29"/>
      <c r="AM61" t="s">
        <v>147</v>
      </c>
      <c r="AN61" s="29"/>
      <c r="AO61" t="s">
        <v>148</v>
      </c>
      <c r="AP61" s="29"/>
      <c r="AQ61" t="s">
        <v>147</v>
      </c>
      <c r="AR61" s="29"/>
      <c r="AS61" t="s">
        <v>147</v>
      </c>
      <c r="AT61" s="29"/>
      <c r="AU61" t="s">
        <v>148</v>
      </c>
      <c r="AV61" s="29"/>
      <c r="AW61" t="s">
        <v>84</v>
      </c>
      <c r="AX61" s="29"/>
      <c r="AY61" t="s">
        <v>216</v>
      </c>
      <c r="AZ61" s="31"/>
      <c r="BA61" s="27" t="str">
        <f t="shared" si="1"/>
        <v>✓</v>
      </c>
      <c r="BB61" s="31"/>
      <c r="BC61" s="69">
        <f t="shared" si="2"/>
        <v>3.4100000000000006</v>
      </c>
      <c r="BD61" s="31"/>
      <c r="BE61" s="27" t="str">
        <f>IFERROR(LOOKUP(BC61,'OSM - Rating and Score'!$G$103:$I$108,'OSM - Rating and Score'!$C$103:$C$108),"")</f>
        <v>Moderate</v>
      </c>
      <c r="BF61" s="31"/>
      <c r="BG61" s="7" t="s">
        <v>422</v>
      </c>
      <c r="BH61" s="7"/>
      <c r="BI61" s="7"/>
      <c r="BJ61" s="7"/>
      <c r="BK61" s="7"/>
      <c r="BL61" s="29"/>
      <c r="BM61" s="67">
        <f>ROUND(VLOOKUP(I61,'OSM - Rating and Score'!$C$8:$D$13,2,0)*BM$6,2)</f>
        <v>0</v>
      </c>
      <c r="BN61" s="29"/>
      <c r="BO61" s="67">
        <f>ROUND(VLOOKUP(K61,'OSM - Rating and Score'!$C$8:$D$13,2,0)*BO$6,2)</f>
        <v>0.15</v>
      </c>
      <c r="BP61" s="29"/>
      <c r="BQ61" s="66"/>
      <c r="BR61" s="29"/>
      <c r="BS61" s="67">
        <f>ROUND(VLOOKUP(O61,'OSM - Rating and Score'!$C$17:$D$22,2,0)*BS$6,2)</f>
        <v>0.1</v>
      </c>
      <c r="BT61" s="29"/>
      <c r="BU61" s="67">
        <f>ROUND(VLOOKUP(Q61,'OSM - Rating and Score'!$C$56:$D$61,2,0)*BU$6,2)</f>
        <v>0.28000000000000003</v>
      </c>
      <c r="BV61" s="29"/>
      <c r="BW61" s="67">
        <f>ROUND(VLOOKUP(S61,'OSM - Rating and Score'!$C$26:$D$31,2,0)*BW$6,2)</f>
        <v>0.1</v>
      </c>
      <c r="BX61" s="29"/>
      <c r="BY61" s="67">
        <f>ROUND(VLOOKUP(U61,'OSM - Rating and Score'!$C$35:$D$40,2,0)*BY$6,2)</f>
        <v>0.21</v>
      </c>
      <c r="BZ61" s="29"/>
      <c r="CA61" s="66"/>
      <c r="CB61" s="29"/>
      <c r="CC61" s="67">
        <f>ROUND(LOOKUP(Y61,'OSM - Rating and Score'!$G$85:$I$90,'OSM - Rating and Score'!$D$85:$D$90)*CC$6,2)</f>
        <v>0.3</v>
      </c>
      <c r="CD61" s="29"/>
      <c r="CE61" s="67">
        <f>ROUND(LOOKUP(AA61,'OSM - Rating and Score'!$G$113:$I$118,'OSM - Rating and Score'!$D$113:$D$118)*CE$6,2)</f>
        <v>0.24</v>
      </c>
      <c r="CF61" s="29"/>
      <c r="CG61" s="67">
        <f>ROUND(LOOKUP(AC61,'OSM - Rating and Score'!$G$94:$I$99,'OSM - Rating and Score'!$D$85:$D$90)*CG$6,2)</f>
        <v>0.2</v>
      </c>
      <c r="CH61" s="29"/>
      <c r="CI61" s="67">
        <f>ROUND(VLOOKUP(AE61,'OSM - Rating and Score'!$C$8:$D$13,2,0)*CI$6,2)</f>
        <v>0.4</v>
      </c>
      <c r="CJ61" s="29"/>
      <c r="CK61" s="67">
        <f>ROUND(VLOOKUP(AG61,'OSM - Rating and Score'!$C$8:$D$13,2,0)*CK$6,2)</f>
        <v>0.04</v>
      </c>
      <c r="CL61" s="29"/>
      <c r="CM61" s="67">
        <v>0</v>
      </c>
      <c r="CN61" s="29"/>
      <c r="CO61" s="67">
        <f>ROUND(VLOOKUP(AK61,'OSM - Rating and Score'!$C$8:$D$13,2,0)*CO$6,2)</f>
        <v>0.21</v>
      </c>
      <c r="CP61" s="29"/>
      <c r="CQ61" s="67">
        <f>ROUND(VLOOKUP(AM61,'OSM - Rating and Score'!$C$47:$D$52,2,0)*CQ$6,2)</f>
        <v>0.2</v>
      </c>
      <c r="CR61" s="29"/>
      <c r="CS61" s="67">
        <f>ROUND(VLOOKUP(AO61,'OSM - Rating and Score'!$C$47:$D$52,2,0)*CS$6,2)</f>
        <v>0.15</v>
      </c>
      <c r="CT61" s="29"/>
      <c r="CU61" s="67">
        <f>ROUND(VLOOKUP(AQ61,'OSM - Rating and Score'!$C$47:$D$52,2,0)*CU$6,2)</f>
        <v>0.2</v>
      </c>
      <c r="CV61" s="29"/>
      <c r="CW61" s="67">
        <f>ROUND(VLOOKUP(AS61,'OSM - Rating and Score'!$C$47:$D$52,2,0)*CW$6,2)</f>
        <v>0.28000000000000003</v>
      </c>
      <c r="CX61" s="29"/>
      <c r="CY61" s="67">
        <f>ROUND(VLOOKUP(AU61,'OSM - Rating and Score'!$C$65:$D$70,2,0)*CY$6,2)</f>
        <v>0.15</v>
      </c>
      <c r="CZ61" s="29"/>
      <c r="DA61" s="67">
        <f>ROUND(VLOOKUP(AW61,'OSM - Rating and Score'!$C$8:$D$13,2,0)*DA$6,2)</f>
        <v>0</v>
      </c>
      <c r="DB61" s="29"/>
      <c r="DC61" s="67">
        <f>ROUND(VLOOKUP(AY61,'OSM - Rating and Score'!$C$75:$D$80,2,0)*DC$6,2)</f>
        <v>0.2</v>
      </c>
      <c r="DD61" s="29"/>
    </row>
    <row r="62" spans="2:108" x14ac:dyDescent="0.45">
      <c r="B62" s="29"/>
      <c r="C62" s="7">
        <v>29</v>
      </c>
      <c r="D62" s="29"/>
      <c r="F62" s="29"/>
      <c r="G62" s="29" t="s">
        <v>397</v>
      </c>
      <c r="H62" s="29"/>
      <c r="I62" t="s">
        <v>84</v>
      </c>
      <c r="J62" s="29"/>
      <c r="K62" t="s">
        <v>83</v>
      </c>
      <c r="L62" s="29"/>
      <c r="M62" s="25"/>
      <c r="N62" s="29"/>
      <c r="O62" t="s">
        <v>110</v>
      </c>
      <c r="P62" s="29"/>
      <c r="Q62" t="s">
        <v>294</v>
      </c>
      <c r="R62" s="29"/>
      <c r="S62" t="s">
        <v>122</v>
      </c>
      <c r="T62" s="29"/>
      <c r="U62" t="s">
        <v>313</v>
      </c>
      <c r="V62" s="29"/>
      <c r="W62" s="25">
        <v>30</v>
      </c>
      <c r="X62" s="31"/>
      <c r="Y62" s="25">
        <v>1</v>
      </c>
      <c r="Z62" s="31"/>
      <c r="AA62" s="26">
        <v>0.4</v>
      </c>
      <c r="AB62" s="31"/>
      <c r="AC62" s="27">
        <f t="shared" si="0"/>
        <v>5</v>
      </c>
      <c r="AD62" s="29"/>
      <c r="AE62" t="s">
        <v>87</v>
      </c>
      <c r="AF62" s="29"/>
      <c r="AG62" t="s">
        <v>86</v>
      </c>
      <c r="AH62" s="29"/>
      <c r="AI62" s="60"/>
      <c r="AJ62" s="29"/>
      <c r="AK62" t="s">
        <v>83</v>
      </c>
      <c r="AL62" s="29"/>
      <c r="AM62" t="s">
        <v>147</v>
      </c>
      <c r="AN62" s="29"/>
      <c r="AO62" t="s">
        <v>147</v>
      </c>
      <c r="AP62" s="29"/>
      <c r="AQ62" t="s">
        <v>147</v>
      </c>
      <c r="AR62" s="29"/>
      <c r="AS62" t="s">
        <v>148</v>
      </c>
      <c r="AT62" s="29"/>
      <c r="AU62" t="s">
        <v>288</v>
      </c>
      <c r="AV62" s="29"/>
      <c r="AW62" t="s">
        <v>86</v>
      </c>
      <c r="AX62" s="29"/>
      <c r="AY62" t="s">
        <v>216</v>
      </c>
      <c r="AZ62" s="31"/>
      <c r="BA62" s="27" t="str">
        <f t="shared" si="1"/>
        <v>✗</v>
      </c>
      <c r="BB62" s="31"/>
      <c r="BC62" s="69">
        <f t="shared" si="2"/>
        <v>3.8800000000000008</v>
      </c>
      <c r="BD62" s="31"/>
      <c r="BE62" s="27" t="str">
        <f>IFERROR(LOOKUP(BC62,'OSM - Rating and Score'!$G$103:$I$108,'OSM - Rating and Score'!$C$103:$C$108),"")</f>
        <v>Attractive</v>
      </c>
      <c r="BF62" s="31"/>
      <c r="BG62" s="7" t="s">
        <v>423</v>
      </c>
      <c r="BH62" s="7"/>
      <c r="BI62" s="7"/>
      <c r="BJ62" s="7"/>
      <c r="BK62" s="7"/>
      <c r="BL62" s="29"/>
      <c r="BM62" s="67">
        <f>ROUND(VLOOKUP(I62,'OSM - Rating and Score'!$C$8:$D$13,2,0)*BM$6,2)</f>
        <v>0</v>
      </c>
      <c r="BN62" s="29"/>
      <c r="BO62" s="67">
        <f>ROUND(VLOOKUP(K62,'OSM - Rating and Score'!$C$8:$D$13,2,0)*BO$6,2)</f>
        <v>0.2</v>
      </c>
      <c r="BP62" s="29"/>
      <c r="BQ62" s="66"/>
      <c r="BR62" s="29"/>
      <c r="BS62" s="67">
        <f>ROUND(VLOOKUP(O62,'OSM - Rating and Score'!$C$17:$D$22,2,0)*BS$6,2)</f>
        <v>0.2</v>
      </c>
      <c r="BT62" s="29"/>
      <c r="BU62" s="67">
        <f>ROUND(VLOOKUP(Q62,'OSM - Rating and Score'!$C$56:$D$61,2,0)*BU$6,2)</f>
        <v>0.28000000000000003</v>
      </c>
      <c r="BV62" s="29"/>
      <c r="BW62" s="67">
        <f>ROUND(VLOOKUP(S62,'OSM - Rating and Score'!$C$26:$D$31,2,0)*BW$6,2)</f>
        <v>0.2</v>
      </c>
      <c r="BX62" s="29"/>
      <c r="BY62" s="67">
        <f>ROUND(VLOOKUP(U62,'OSM - Rating and Score'!$C$35:$D$40,2,0)*BY$6,2)</f>
        <v>0.35</v>
      </c>
      <c r="BZ62" s="29"/>
      <c r="CA62" s="66"/>
      <c r="CB62" s="29"/>
      <c r="CC62" s="67">
        <f>ROUND(LOOKUP(Y62,'OSM - Rating and Score'!$G$85:$I$90,'OSM - Rating and Score'!$D$85:$D$90)*CC$6,2)</f>
        <v>0.2</v>
      </c>
      <c r="CD62" s="29"/>
      <c r="CE62" s="67">
        <f>ROUND(LOOKUP(AA62,'OSM - Rating and Score'!$G$113:$I$118,'OSM - Rating and Score'!$D$113:$D$118)*CE$6,2)</f>
        <v>0.32</v>
      </c>
      <c r="CF62" s="29"/>
      <c r="CG62" s="67">
        <f>ROUND(LOOKUP(AC62,'OSM - Rating and Score'!$G$94:$I$99,'OSM - Rating and Score'!$D$85:$D$90)*CG$6,2)</f>
        <v>0.1</v>
      </c>
      <c r="CH62" s="29"/>
      <c r="CI62" s="67">
        <f>ROUND(VLOOKUP(AE62,'OSM - Rating and Score'!$C$8:$D$13,2,0)*CI$6,2)</f>
        <v>0.5</v>
      </c>
      <c r="CJ62" s="29"/>
      <c r="CK62" s="67">
        <f>ROUND(VLOOKUP(AG62,'OSM - Rating and Score'!$C$8:$D$13,2,0)*CK$6,2)</f>
        <v>0.04</v>
      </c>
      <c r="CL62" s="29"/>
      <c r="CM62" s="67">
        <v>0</v>
      </c>
      <c r="CN62" s="29"/>
      <c r="CO62" s="67">
        <f>ROUND(VLOOKUP(AK62,'OSM - Rating and Score'!$C$8:$D$13,2,0)*CO$6,2)</f>
        <v>0.28000000000000003</v>
      </c>
      <c r="CP62" s="29"/>
      <c r="CQ62" s="67">
        <f>ROUND(VLOOKUP(AM62,'OSM - Rating and Score'!$C$47:$D$52,2,0)*CQ$6,2)</f>
        <v>0.2</v>
      </c>
      <c r="CR62" s="29"/>
      <c r="CS62" s="67">
        <f>ROUND(VLOOKUP(AO62,'OSM - Rating and Score'!$C$47:$D$52,2,0)*CS$6,2)</f>
        <v>0.2</v>
      </c>
      <c r="CT62" s="29"/>
      <c r="CU62" s="67">
        <f>ROUND(VLOOKUP(AQ62,'OSM - Rating and Score'!$C$47:$D$52,2,0)*CU$6,2)</f>
        <v>0.2</v>
      </c>
      <c r="CV62" s="29"/>
      <c r="CW62" s="67">
        <f>ROUND(VLOOKUP(AS62,'OSM - Rating and Score'!$C$47:$D$52,2,0)*CW$6,2)</f>
        <v>0.21</v>
      </c>
      <c r="CX62" s="29"/>
      <c r="CY62" s="67">
        <f>ROUND(VLOOKUP(AU62,'OSM - Rating and Score'!$C$65:$D$70,2,0)*CY$6,2)</f>
        <v>0.2</v>
      </c>
      <c r="CZ62" s="29"/>
      <c r="DA62" s="67">
        <f>ROUND(VLOOKUP(AW62,'OSM - Rating and Score'!$C$8:$D$13,2,0)*DA$6,2)</f>
        <v>0</v>
      </c>
      <c r="DB62" s="29"/>
      <c r="DC62" s="67">
        <f>ROUND(VLOOKUP(AY62,'OSM - Rating and Score'!$C$75:$D$80,2,0)*DC$6,2)</f>
        <v>0.2</v>
      </c>
      <c r="DD62" s="29"/>
    </row>
    <row r="63" spans="2:108" x14ac:dyDescent="0.45">
      <c r="B63" s="29"/>
      <c r="C63" s="31"/>
      <c r="D63" s="29"/>
      <c r="F63" s="29"/>
      <c r="G63" s="74" t="s">
        <v>398</v>
      </c>
      <c r="H63" s="29"/>
      <c r="I63" t="s">
        <v>83</v>
      </c>
      <c r="J63" s="29"/>
      <c r="K63" t="s">
        <v>83</v>
      </c>
      <c r="L63" s="29"/>
      <c r="M63" s="25"/>
      <c r="N63" s="29"/>
      <c r="O63" t="s">
        <v>112</v>
      </c>
      <c r="P63" s="29"/>
      <c r="Q63" t="s">
        <v>294</v>
      </c>
      <c r="R63" s="29"/>
      <c r="S63" t="s">
        <v>126</v>
      </c>
      <c r="T63" s="29"/>
      <c r="U63" t="s">
        <v>313</v>
      </c>
      <c r="V63" s="29"/>
      <c r="W63" s="25">
        <v>50</v>
      </c>
      <c r="X63" s="31"/>
      <c r="Y63" s="25">
        <v>2</v>
      </c>
      <c r="Z63" s="31"/>
      <c r="AA63" s="26">
        <v>0.25</v>
      </c>
      <c r="AB63" s="31"/>
      <c r="AC63" s="27">
        <f t="shared" si="0"/>
        <v>6</v>
      </c>
      <c r="AD63" s="29"/>
      <c r="AE63" t="s">
        <v>87</v>
      </c>
      <c r="AF63" s="29"/>
      <c r="AG63" t="s">
        <v>86</v>
      </c>
      <c r="AH63" s="29"/>
      <c r="AI63" s="60"/>
      <c r="AJ63" s="29"/>
      <c r="AK63" t="s">
        <v>83</v>
      </c>
      <c r="AL63" s="29"/>
      <c r="AM63" t="s">
        <v>149</v>
      </c>
      <c r="AN63" s="29"/>
      <c r="AO63" t="s">
        <v>147</v>
      </c>
      <c r="AP63" s="29"/>
      <c r="AQ63" t="s">
        <v>148</v>
      </c>
      <c r="AR63" s="29"/>
      <c r="AS63" t="s">
        <v>147</v>
      </c>
      <c r="AT63" s="29"/>
      <c r="AU63" t="s">
        <v>148</v>
      </c>
      <c r="AV63" s="29"/>
      <c r="AW63" t="s">
        <v>86</v>
      </c>
      <c r="AX63" s="29"/>
      <c r="AY63" t="s">
        <v>216</v>
      </c>
      <c r="AZ63" s="31"/>
      <c r="BA63" s="27" t="str">
        <f t="shared" si="1"/>
        <v>✗</v>
      </c>
      <c r="BB63" s="31"/>
      <c r="BC63" s="69">
        <f t="shared" si="2"/>
        <v>3.4400000000000008</v>
      </c>
      <c r="BD63" s="31"/>
      <c r="BE63" s="27" t="str">
        <f>IFERROR(LOOKUP(BC63,'OSM - Rating and Score'!$G$103:$I$108,'OSM - Rating and Score'!$C$103:$C$108),"")</f>
        <v>Moderate</v>
      </c>
      <c r="BF63" s="31"/>
      <c r="BG63" s="7" t="s">
        <v>424</v>
      </c>
      <c r="BH63" s="7"/>
      <c r="BI63" s="7"/>
      <c r="BJ63" s="7"/>
      <c r="BK63" s="7"/>
      <c r="BL63" s="29"/>
      <c r="BM63" s="67">
        <f>ROUND(VLOOKUP(I63,'OSM - Rating and Score'!$C$8:$D$13,2,0)*BM$6,2)</f>
        <v>0</v>
      </c>
      <c r="BN63" s="29"/>
      <c r="BO63" s="67">
        <f>ROUND(VLOOKUP(K63,'OSM - Rating and Score'!$C$8:$D$13,2,0)*BO$6,2)</f>
        <v>0.2</v>
      </c>
      <c r="BP63" s="29"/>
      <c r="BQ63" s="66"/>
      <c r="BR63" s="29"/>
      <c r="BS63" s="67">
        <f>ROUND(VLOOKUP(O63,'OSM - Rating and Score'!$C$17:$D$22,2,0)*BS$6,2)</f>
        <v>0.15</v>
      </c>
      <c r="BT63" s="29"/>
      <c r="BU63" s="67">
        <f>ROUND(VLOOKUP(Q63,'OSM - Rating and Score'!$C$56:$D$61,2,0)*BU$6,2)</f>
        <v>0.28000000000000003</v>
      </c>
      <c r="BV63" s="29"/>
      <c r="BW63" s="67">
        <f>ROUND(VLOOKUP(S63,'OSM - Rating and Score'!$C$26:$D$31,2,0)*BW$6,2)</f>
        <v>0.1</v>
      </c>
      <c r="BX63" s="29"/>
      <c r="BY63" s="67">
        <f>ROUND(VLOOKUP(U63,'OSM - Rating and Score'!$C$35:$D$40,2,0)*BY$6,2)</f>
        <v>0.35</v>
      </c>
      <c r="BZ63" s="29"/>
      <c r="CA63" s="66"/>
      <c r="CB63" s="29"/>
      <c r="CC63" s="67">
        <f>ROUND(LOOKUP(Y63,'OSM - Rating and Score'!$G$85:$I$90,'OSM - Rating and Score'!$D$85:$D$90)*CC$6,2)</f>
        <v>0.2</v>
      </c>
      <c r="CD63" s="29"/>
      <c r="CE63" s="67">
        <f>ROUND(LOOKUP(AA63,'OSM - Rating and Score'!$G$113:$I$118,'OSM - Rating and Score'!$D$113:$D$118)*CE$6,2)</f>
        <v>0.16</v>
      </c>
      <c r="CF63" s="29"/>
      <c r="CG63" s="67">
        <f>ROUND(LOOKUP(AC63,'OSM - Rating and Score'!$G$94:$I$99,'OSM - Rating and Score'!$D$85:$D$90)*CG$6,2)</f>
        <v>0.1</v>
      </c>
      <c r="CH63" s="29"/>
      <c r="CI63" s="67">
        <f>ROUND(VLOOKUP(AE63,'OSM - Rating and Score'!$C$8:$D$13,2,0)*CI$6,2)</f>
        <v>0.5</v>
      </c>
      <c r="CJ63" s="29"/>
      <c r="CK63" s="67">
        <f>ROUND(VLOOKUP(AG63,'OSM - Rating and Score'!$C$8:$D$13,2,0)*CK$6,2)</f>
        <v>0.04</v>
      </c>
      <c r="CL63" s="29"/>
      <c r="CM63" s="67">
        <v>0</v>
      </c>
      <c r="CN63" s="29"/>
      <c r="CO63" s="67">
        <f>ROUND(VLOOKUP(AK63,'OSM - Rating and Score'!$C$8:$D$13,2,0)*CO$6,2)</f>
        <v>0.28000000000000003</v>
      </c>
      <c r="CP63" s="29"/>
      <c r="CQ63" s="67">
        <f>ROUND(VLOOKUP(AM63,'OSM - Rating and Score'!$C$47:$D$52,2,0)*CQ$6,2)</f>
        <v>0.1</v>
      </c>
      <c r="CR63" s="29"/>
      <c r="CS63" s="67">
        <f>ROUND(VLOOKUP(AO63,'OSM - Rating and Score'!$C$47:$D$52,2,0)*CS$6,2)</f>
        <v>0.2</v>
      </c>
      <c r="CT63" s="29"/>
      <c r="CU63" s="67">
        <f>ROUND(VLOOKUP(AQ63,'OSM - Rating and Score'!$C$47:$D$52,2,0)*CU$6,2)</f>
        <v>0.15</v>
      </c>
      <c r="CV63" s="29"/>
      <c r="CW63" s="67">
        <f>ROUND(VLOOKUP(AS63,'OSM - Rating and Score'!$C$47:$D$52,2,0)*CW$6,2)</f>
        <v>0.28000000000000003</v>
      </c>
      <c r="CX63" s="29"/>
      <c r="CY63" s="67">
        <f>ROUND(VLOOKUP(AU63,'OSM - Rating and Score'!$C$65:$D$70,2,0)*CY$6,2)</f>
        <v>0.15</v>
      </c>
      <c r="CZ63" s="29"/>
      <c r="DA63" s="67">
        <f>ROUND(VLOOKUP(AW63,'OSM - Rating and Score'!$C$8:$D$13,2,0)*DA$6,2)</f>
        <v>0</v>
      </c>
      <c r="DB63" s="29"/>
      <c r="DC63" s="67">
        <f>ROUND(VLOOKUP(AY63,'OSM - Rating and Score'!$C$75:$D$80,2,0)*DC$6,2)</f>
        <v>0.2</v>
      </c>
      <c r="DD63" s="29"/>
    </row>
    <row r="64" spans="2:108" x14ac:dyDescent="0.45">
      <c r="B64" s="29"/>
      <c r="C64" s="7">
        <v>30</v>
      </c>
      <c r="D64" s="29"/>
      <c r="F64" s="29"/>
      <c r="G64" s="29" t="s">
        <v>399</v>
      </c>
      <c r="H64" s="29"/>
      <c r="I64" t="s">
        <v>83</v>
      </c>
      <c r="J64" s="29"/>
      <c r="K64" t="s">
        <v>83</v>
      </c>
      <c r="L64" s="29"/>
      <c r="M64" s="25"/>
      <c r="N64" s="29"/>
      <c r="O64" t="s">
        <v>114</v>
      </c>
      <c r="P64" s="29"/>
      <c r="Q64" t="s">
        <v>296</v>
      </c>
      <c r="R64" s="29"/>
      <c r="S64" t="s">
        <v>126</v>
      </c>
      <c r="T64" s="29"/>
      <c r="U64" t="s">
        <v>314</v>
      </c>
      <c r="V64" s="29"/>
      <c r="W64" s="25">
        <v>50</v>
      </c>
      <c r="X64" s="31"/>
      <c r="Y64" s="25">
        <v>3</v>
      </c>
      <c r="Z64" s="31"/>
      <c r="AA64" s="26">
        <v>0.25</v>
      </c>
      <c r="AB64" s="31"/>
      <c r="AC64" s="27">
        <f t="shared" si="0"/>
        <v>9</v>
      </c>
      <c r="AD64" s="29"/>
      <c r="AE64" t="s">
        <v>83</v>
      </c>
      <c r="AF64" s="29"/>
      <c r="AG64" t="s">
        <v>86</v>
      </c>
      <c r="AH64" s="29"/>
      <c r="AI64" s="60"/>
      <c r="AJ64" s="29"/>
      <c r="AK64" t="s">
        <v>84</v>
      </c>
      <c r="AL64" s="29"/>
      <c r="AM64" t="s">
        <v>148</v>
      </c>
      <c r="AN64" s="29"/>
      <c r="AO64" t="s">
        <v>148</v>
      </c>
      <c r="AP64" s="29"/>
      <c r="AQ64" t="s">
        <v>149</v>
      </c>
      <c r="AR64" s="29"/>
      <c r="AS64" t="s">
        <v>148</v>
      </c>
      <c r="AT64" s="29"/>
      <c r="AU64" t="s">
        <v>228</v>
      </c>
      <c r="AV64" s="29"/>
      <c r="AW64" t="s">
        <v>84</v>
      </c>
      <c r="AX64" s="29"/>
      <c r="AY64" t="s">
        <v>216</v>
      </c>
      <c r="AZ64" s="31"/>
      <c r="BA64" s="27" t="str">
        <f t="shared" si="1"/>
        <v>✗</v>
      </c>
      <c r="BB64" s="31"/>
      <c r="BC64" s="69">
        <f t="shared" si="2"/>
        <v>2.91</v>
      </c>
      <c r="BD64" s="31"/>
      <c r="BE64" s="27" t="str">
        <f>IFERROR(LOOKUP(BC64,'OSM - Rating and Score'!$G$103:$I$108,'OSM - Rating and Score'!$C$103:$C$108),"")</f>
        <v>Moderate</v>
      </c>
      <c r="BF64" s="31"/>
      <c r="BG64" s="7" t="s">
        <v>425</v>
      </c>
      <c r="BH64" s="7"/>
      <c r="BI64" s="7"/>
      <c r="BJ64" s="7"/>
      <c r="BK64" s="7"/>
      <c r="BL64" s="29"/>
      <c r="BM64" s="67">
        <f>ROUND(VLOOKUP(I64,'OSM - Rating and Score'!$C$8:$D$13,2,0)*BM$6,2)</f>
        <v>0</v>
      </c>
      <c r="BN64" s="29"/>
      <c r="BO64" s="67">
        <f>ROUND(VLOOKUP(K64,'OSM - Rating and Score'!$C$8:$D$13,2,0)*BO$6,2)</f>
        <v>0.2</v>
      </c>
      <c r="BP64" s="29"/>
      <c r="BQ64" s="66"/>
      <c r="BR64" s="29"/>
      <c r="BS64" s="67">
        <f>ROUND(VLOOKUP(O64,'OSM - Rating and Score'!$C$17:$D$22,2,0)*BS$6,2)</f>
        <v>0.1</v>
      </c>
      <c r="BT64" s="29"/>
      <c r="BU64" s="67">
        <f>ROUND(VLOOKUP(Q64,'OSM - Rating and Score'!$C$56:$D$61,2,0)*BU$6,2)</f>
        <v>0.21</v>
      </c>
      <c r="BV64" s="29"/>
      <c r="BW64" s="67">
        <f>ROUND(VLOOKUP(S64,'OSM - Rating and Score'!$C$26:$D$31,2,0)*BW$6,2)</f>
        <v>0.1</v>
      </c>
      <c r="BX64" s="29"/>
      <c r="BY64" s="67">
        <f>ROUND(VLOOKUP(U64,'OSM - Rating and Score'!$C$35:$D$40,2,0)*BY$6,2)</f>
        <v>0.28000000000000003</v>
      </c>
      <c r="BZ64" s="29"/>
      <c r="CA64" s="66"/>
      <c r="CB64" s="29"/>
      <c r="CC64" s="67">
        <f>ROUND(LOOKUP(Y64,'OSM - Rating and Score'!$G$85:$I$90,'OSM - Rating and Score'!$D$85:$D$90)*CC$6,2)</f>
        <v>0.2</v>
      </c>
      <c r="CD64" s="29"/>
      <c r="CE64" s="67">
        <f>ROUND(LOOKUP(AA64,'OSM - Rating and Score'!$G$113:$I$118,'OSM - Rating and Score'!$D$113:$D$118)*CE$6,2)</f>
        <v>0.16</v>
      </c>
      <c r="CF64" s="29"/>
      <c r="CG64" s="67">
        <f>ROUND(LOOKUP(AC64,'OSM - Rating and Score'!$G$94:$I$99,'OSM - Rating and Score'!$D$85:$D$90)*CG$6,2)</f>
        <v>0.1</v>
      </c>
      <c r="CH64" s="29"/>
      <c r="CI64" s="67">
        <f>ROUND(VLOOKUP(AE64,'OSM - Rating and Score'!$C$8:$D$13,2,0)*CI$6,2)</f>
        <v>0.4</v>
      </c>
      <c r="CJ64" s="29"/>
      <c r="CK64" s="67">
        <f>ROUND(VLOOKUP(AG64,'OSM - Rating and Score'!$C$8:$D$13,2,0)*CK$6,2)</f>
        <v>0.04</v>
      </c>
      <c r="CL64" s="29"/>
      <c r="CM64" s="67">
        <v>0</v>
      </c>
      <c r="CN64" s="29"/>
      <c r="CO64" s="67">
        <f>ROUND(VLOOKUP(AK64,'OSM - Rating and Score'!$C$8:$D$13,2,0)*CO$6,2)</f>
        <v>0.21</v>
      </c>
      <c r="CP64" s="29"/>
      <c r="CQ64" s="67">
        <f>ROUND(VLOOKUP(AM64,'OSM - Rating and Score'!$C$47:$D$52,2,0)*CQ$6,2)</f>
        <v>0.15</v>
      </c>
      <c r="CR64" s="29"/>
      <c r="CS64" s="67">
        <f>ROUND(VLOOKUP(AO64,'OSM - Rating and Score'!$C$47:$D$52,2,0)*CS$6,2)</f>
        <v>0.15</v>
      </c>
      <c r="CT64" s="29"/>
      <c r="CU64" s="67">
        <f>ROUND(VLOOKUP(AQ64,'OSM - Rating and Score'!$C$47:$D$52,2,0)*CU$6,2)</f>
        <v>0.1</v>
      </c>
      <c r="CV64" s="29"/>
      <c r="CW64" s="67">
        <f>ROUND(VLOOKUP(AS64,'OSM - Rating and Score'!$C$47:$D$52,2,0)*CW$6,2)</f>
        <v>0.21</v>
      </c>
      <c r="CX64" s="29"/>
      <c r="CY64" s="67">
        <f>ROUND(VLOOKUP(AU64,'OSM - Rating and Score'!$C$65:$D$70,2,0)*CY$6,2)</f>
        <v>0.1</v>
      </c>
      <c r="CZ64" s="29"/>
      <c r="DA64" s="67">
        <f>ROUND(VLOOKUP(AW64,'OSM - Rating and Score'!$C$8:$D$13,2,0)*DA$6,2)</f>
        <v>0</v>
      </c>
      <c r="DB64" s="29"/>
      <c r="DC64" s="67">
        <f>ROUND(VLOOKUP(AY64,'OSM - Rating and Score'!$C$75:$D$80,2,0)*DC$6,2)</f>
        <v>0.2</v>
      </c>
      <c r="DD64" s="29"/>
    </row>
    <row r="65" spans="2:108" x14ac:dyDescent="0.45">
      <c r="B65" s="29"/>
      <c r="C65" s="7">
        <v>31</v>
      </c>
      <c r="D65" s="29"/>
      <c r="F65" s="29"/>
      <c r="G65" t="s">
        <v>400</v>
      </c>
      <c r="H65" s="29"/>
      <c r="I65" t="s">
        <v>85</v>
      </c>
      <c r="J65" s="29"/>
      <c r="K65" t="s">
        <v>83</v>
      </c>
      <c r="L65" s="29"/>
      <c r="M65" s="25"/>
      <c r="N65" s="29"/>
      <c r="O65" t="s">
        <v>114</v>
      </c>
      <c r="P65" s="29"/>
      <c r="Q65" t="s">
        <v>294</v>
      </c>
      <c r="R65" s="29"/>
      <c r="S65" t="s">
        <v>126</v>
      </c>
      <c r="T65" s="29"/>
      <c r="U65" t="s">
        <v>314</v>
      </c>
      <c r="V65" s="29"/>
      <c r="W65" s="25">
        <v>150</v>
      </c>
      <c r="X65" s="31"/>
      <c r="Y65" s="25">
        <v>3</v>
      </c>
      <c r="Z65" s="31"/>
      <c r="AA65" s="26">
        <v>0.4</v>
      </c>
      <c r="AB65" s="31"/>
      <c r="AC65" s="27">
        <f t="shared" si="0"/>
        <v>16</v>
      </c>
      <c r="AD65" s="29"/>
      <c r="AE65" t="s">
        <v>87</v>
      </c>
      <c r="AF65" s="29"/>
      <c r="AG65" t="s">
        <v>86</v>
      </c>
      <c r="AH65" s="29"/>
      <c r="AI65" s="60">
        <v>2</v>
      </c>
      <c r="AJ65" s="29"/>
      <c r="AK65" t="s">
        <v>85</v>
      </c>
      <c r="AL65" s="29"/>
      <c r="AM65" t="s">
        <v>148</v>
      </c>
      <c r="AN65" s="29"/>
      <c r="AO65" t="s">
        <v>149</v>
      </c>
      <c r="AP65" s="29"/>
      <c r="AQ65" t="s">
        <v>147</v>
      </c>
      <c r="AR65" s="29"/>
      <c r="AS65" t="s">
        <v>149</v>
      </c>
      <c r="AT65" s="29"/>
      <c r="AU65" t="s">
        <v>148</v>
      </c>
      <c r="AV65" s="29"/>
      <c r="AW65" t="s">
        <v>86</v>
      </c>
      <c r="AX65" s="29"/>
      <c r="AY65" t="s">
        <v>212</v>
      </c>
      <c r="AZ65" s="31"/>
      <c r="BA65" s="27" t="str">
        <f t="shared" si="1"/>
        <v>✓</v>
      </c>
      <c r="BB65" s="31"/>
      <c r="BC65" s="69">
        <f t="shared" si="2"/>
        <v>3.1500000000000004</v>
      </c>
      <c r="BD65" s="31"/>
      <c r="BE65" s="27" t="str">
        <f>IFERROR(LOOKUP(BC65,'OSM - Rating and Score'!$G$103:$I$108,'OSM - Rating and Score'!$C$103:$C$108),"")</f>
        <v>Moderate</v>
      </c>
      <c r="BF65" s="31"/>
      <c r="BG65" s="7" t="s">
        <v>426</v>
      </c>
      <c r="BH65" s="7"/>
      <c r="BI65" s="7"/>
      <c r="BJ65" s="7"/>
      <c r="BK65" s="7"/>
      <c r="BL65" s="29"/>
      <c r="BM65" s="67">
        <f>ROUND(VLOOKUP(I65,'OSM - Rating and Score'!$C$8:$D$13,2,0)*BM$6,2)</f>
        <v>0</v>
      </c>
      <c r="BN65" s="29"/>
      <c r="BO65" s="67">
        <f>ROUND(VLOOKUP(K65,'OSM - Rating and Score'!$C$8:$D$13,2,0)*BO$6,2)</f>
        <v>0.2</v>
      </c>
      <c r="BP65" s="29"/>
      <c r="BQ65" s="66"/>
      <c r="BR65" s="29"/>
      <c r="BS65" s="67">
        <f>ROUND(VLOOKUP(O65,'OSM - Rating and Score'!$C$17:$D$22,2,0)*BS$6,2)</f>
        <v>0.1</v>
      </c>
      <c r="BT65" s="29"/>
      <c r="BU65" s="67">
        <f>ROUND(VLOOKUP(Q65,'OSM - Rating and Score'!$C$56:$D$61,2,0)*BU$6,2)</f>
        <v>0.28000000000000003</v>
      </c>
      <c r="BV65" s="29"/>
      <c r="BW65" s="67">
        <f>ROUND(VLOOKUP(S65,'OSM - Rating and Score'!$C$26:$D$31,2,0)*BW$6,2)</f>
        <v>0.1</v>
      </c>
      <c r="BX65" s="29"/>
      <c r="BY65" s="67">
        <f>ROUND(VLOOKUP(U65,'OSM - Rating and Score'!$C$35:$D$40,2,0)*BY$6,2)</f>
        <v>0.28000000000000003</v>
      </c>
      <c r="BZ65" s="29"/>
      <c r="CA65" s="66"/>
      <c r="CB65" s="29"/>
      <c r="CC65" s="67">
        <f>ROUND(LOOKUP(Y65,'OSM - Rating and Score'!$G$85:$I$90,'OSM - Rating and Score'!$D$85:$D$90)*CC$6,2)</f>
        <v>0.2</v>
      </c>
      <c r="CD65" s="29"/>
      <c r="CE65" s="67">
        <f>ROUND(LOOKUP(AA65,'OSM - Rating and Score'!$G$113:$I$118,'OSM - Rating and Score'!$D$113:$D$118)*CE$6,2)</f>
        <v>0.32</v>
      </c>
      <c r="CF65" s="29"/>
      <c r="CG65" s="67">
        <f>ROUND(LOOKUP(AC65,'OSM - Rating and Score'!$G$94:$I$99,'OSM - Rating and Score'!$D$85:$D$90)*CG$6,2)</f>
        <v>0.2</v>
      </c>
      <c r="CH65" s="29"/>
      <c r="CI65" s="67">
        <f>ROUND(VLOOKUP(AE65,'OSM - Rating and Score'!$C$8:$D$13,2,0)*CI$6,2)</f>
        <v>0.5</v>
      </c>
      <c r="CJ65" s="29"/>
      <c r="CK65" s="67">
        <f>ROUND(VLOOKUP(AG65,'OSM - Rating and Score'!$C$8:$D$13,2,0)*CK$6,2)</f>
        <v>0.04</v>
      </c>
      <c r="CL65" s="29"/>
      <c r="CM65" s="67">
        <v>0</v>
      </c>
      <c r="CN65" s="29"/>
      <c r="CO65" s="67">
        <f>ROUND(VLOOKUP(AK65,'OSM - Rating and Score'!$C$8:$D$13,2,0)*CO$6,2)</f>
        <v>0.14000000000000001</v>
      </c>
      <c r="CP65" s="29"/>
      <c r="CQ65" s="67">
        <f>ROUND(VLOOKUP(AM65,'OSM - Rating and Score'!$C$47:$D$52,2,0)*CQ$6,2)</f>
        <v>0.15</v>
      </c>
      <c r="CR65" s="29"/>
      <c r="CS65" s="67">
        <f>ROUND(VLOOKUP(AO65,'OSM - Rating and Score'!$C$47:$D$52,2,0)*CS$6,2)</f>
        <v>0.1</v>
      </c>
      <c r="CT65" s="29"/>
      <c r="CU65" s="67">
        <f>ROUND(VLOOKUP(AQ65,'OSM - Rating and Score'!$C$47:$D$52,2,0)*CU$6,2)</f>
        <v>0.2</v>
      </c>
      <c r="CV65" s="29"/>
      <c r="CW65" s="67">
        <f>ROUND(VLOOKUP(AS65,'OSM - Rating and Score'!$C$47:$D$52,2,0)*CW$6,2)</f>
        <v>0.14000000000000001</v>
      </c>
      <c r="CX65" s="29"/>
      <c r="CY65" s="67">
        <f>ROUND(VLOOKUP(AU65,'OSM - Rating and Score'!$C$65:$D$70,2,0)*CY$6,2)</f>
        <v>0.15</v>
      </c>
      <c r="CZ65" s="29"/>
      <c r="DA65" s="67">
        <f>ROUND(VLOOKUP(AW65,'OSM - Rating and Score'!$C$8:$D$13,2,0)*DA$6,2)</f>
        <v>0</v>
      </c>
      <c r="DB65" s="29"/>
      <c r="DC65" s="67">
        <f>ROUND(VLOOKUP(AY65,'OSM - Rating and Score'!$C$75:$D$80,2,0)*DC$6,2)</f>
        <v>0.05</v>
      </c>
      <c r="DD65" s="29"/>
    </row>
    <row r="66" spans="2:108" x14ac:dyDescent="0.45">
      <c r="B66" s="29"/>
      <c r="C66" s="31"/>
      <c r="D66" s="29"/>
      <c r="F66" s="29"/>
      <c r="G66" s="75" t="s">
        <v>401</v>
      </c>
      <c r="H66" s="29"/>
      <c r="I66" t="s">
        <v>85</v>
      </c>
      <c r="J66" s="29"/>
      <c r="K66" t="s">
        <v>83</v>
      </c>
      <c r="L66" s="29"/>
      <c r="M66" s="25"/>
      <c r="N66" s="29"/>
      <c r="O66" t="s">
        <v>114</v>
      </c>
      <c r="P66" s="29"/>
      <c r="Q66" t="s">
        <v>294</v>
      </c>
      <c r="R66" s="29"/>
      <c r="S66" t="s">
        <v>126</v>
      </c>
      <c r="T66" s="29"/>
      <c r="U66" t="s">
        <v>316</v>
      </c>
      <c r="V66" s="29"/>
      <c r="W66" s="25">
        <v>200</v>
      </c>
      <c r="X66" s="31"/>
      <c r="Y66" s="25">
        <v>3</v>
      </c>
      <c r="Z66" s="31"/>
      <c r="AA66" s="26">
        <v>0.25</v>
      </c>
      <c r="AB66" s="31"/>
      <c r="AC66" s="27">
        <f t="shared" si="0"/>
        <v>9</v>
      </c>
      <c r="AD66" s="29"/>
      <c r="AE66" t="s">
        <v>84</v>
      </c>
      <c r="AF66" s="29"/>
      <c r="AG66" t="s">
        <v>86</v>
      </c>
      <c r="AH66" s="29"/>
      <c r="AI66" s="60"/>
      <c r="AJ66" s="29"/>
      <c r="AK66" t="s">
        <v>84</v>
      </c>
      <c r="AL66" s="29"/>
      <c r="AM66" t="s">
        <v>147</v>
      </c>
      <c r="AN66" s="29"/>
      <c r="AO66" t="s">
        <v>148</v>
      </c>
      <c r="AP66" s="29"/>
      <c r="AQ66" t="s">
        <v>148</v>
      </c>
      <c r="AR66" s="29"/>
      <c r="AS66" t="s">
        <v>149</v>
      </c>
      <c r="AT66" s="29"/>
      <c r="AU66" t="s">
        <v>228</v>
      </c>
      <c r="AV66" s="29"/>
      <c r="AW66" t="s">
        <v>86</v>
      </c>
      <c r="AX66" s="29"/>
      <c r="AY66" t="s">
        <v>216</v>
      </c>
      <c r="AZ66" s="31"/>
      <c r="BA66" s="27" t="str">
        <f t="shared" si="1"/>
        <v>✗</v>
      </c>
      <c r="BB66" s="31"/>
      <c r="BC66" s="69">
        <f t="shared" si="2"/>
        <v>2.7700000000000005</v>
      </c>
      <c r="BD66" s="31"/>
      <c r="BE66" s="27" t="str">
        <f>IFERROR(LOOKUP(BC66,'OSM - Rating and Score'!$G$103:$I$108,'OSM - Rating and Score'!$C$103:$C$108),"")</f>
        <v>Moderate</v>
      </c>
      <c r="BF66" s="31"/>
      <c r="BG66" s="7"/>
      <c r="BH66" s="7"/>
      <c r="BI66" s="7"/>
      <c r="BJ66" s="7"/>
      <c r="BK66" s="7"/>
      <c r="BL66" s="29"/>
      <c r="BM66" s="67">
        <f>ROUND(VLOOKUP(I66,'OSM - Rating and Score'!$C$8:$D$13,2,0)*BM$6,2)</f>
        <v>0</v>
      </c>
      <c r="BN66" s="29"/>
      <c r="BO66" s="67">
        <f>ROUND(VLOOKUP(K66,'OSM - Rating and Score'!$C$8:$D$13,2,0)*BO$6,2)</f>
        <v>0.2</v>
      </c>
      <c r="BP66" s="29"/>
      <c r="BQ66" s="66"/>
      <c r="BR66" s="29"/>
      <c r="BS66" s="67">
        <f>ROUND(VLOOKUP(O66,'OSM - Rating and Score'!$C$17:$D$22,2,0)*BS$6,2)</f>
        <v>0.1</v>
      </c>
      <c r="BT66" s="29"/>
      <c r="BU66" s="67">
        <f>ROUND(VLOOKUP(Q66,'OSM - Rating and Score'!$C$56:$D$61,2,0)*BU$6,2)</f>
        <v>0.28000000000000003</v>
      </c>
      <c r="BV66" s="29"/>
      <c r="BW66" s="67">
        <f>ROUND(VLOOKUP(S66,'OSM - Rating and Score'!$C$26:$D$31,2,0)*BW$6,2)</f>
        <v>0.1</v>
      </c>
      <c r="BX66" s="29"/>
      <c r="BY66" s="67">
        <f>ROUND(VLOOKUP(U66,'OSM - Rating and Score'!$C$35:$D$40,2,0)*BY$6,2)</f>
        <v>0.14000000000000001</v>
      </c>
      <c r="BZ66" s="29"/>
      <c r="CA66" s="66"/>
      <c r="CB66" s="29"/>
      <c r="CC66" s="67">
        <f>ROUND(LOOKUP(Y66,'OSM - Rating and Score'!$G$85:$I$90,'OSM - Rating and Score'!$D$85:$D$90)*CC$6,2)</f>
        <v>0.2</v>
      </c>
      <c r="CD66" s="29"/>
      <c r="CE66" s="67">
        <f>ROUND(LOOKUP(AA66,'OSM - Rating and Score'!$G$113:$I$118,'OSM - Rating and Score'!$D$113:$D$118)*CE$6,2)</f>
        <v>0.16</v>
      </c>
      <c r="CF66" s="29"/>
      <c r="CG66" s="67">
        <f>ROUND(LOOKUP(AC66,'OSM - Rating and Score'!$G$94:$I$99,'OSM - Rating and Score'!$D$85:$D$90)*CG$6,2)</f>
        <v>0.1</v>
      </c>
      <c r="CH66" s="29"/>
      <c r="CI66" s="67">
        <f>ROUND(VLOOKUP(AE66,'OSM - Rating and Score'!$C$8:$D$13,2,0)*CI$6,2)</f>
        <v>0.3</v>
      </c>
      <c r="CJ66" s="29"/>
      <c r="CK66" s="67">
        <f>ROUND(VLOOKUP(AG66,'OSM - Rating and Score'!$C$8:$D$13,2,0)*CK$6,2)</f>
        <v>0.04</v>
      </c>
      <c r="CL66" s="29"/>
      <c r="CM66" s="67">
        <v>0</v>
      </c>
      <c r="CN66" s="29"/>
      <c r="CO66" s="67">
        <f>ROUND(VLOOKUP(AK66,'OSM - Rating and Score'!$C$8:$D$13,2,0)*CO$6,2)</f>
        <v>0.21</v>
      </c>
      <c r="CP66" s="29"/>
      <c r="CQ66" s="67">
        <f>ROUND(VLOOKUP(AM66,'OSM - Rating and Score'!$C$47:$D$52,2,0)*CQ$6,2)</f>
        <v>0.2</v>
      </c>
      <c r="CR66" s="29"/>
      <c r="CS66" s="67">
        <f>ROUND(VLOOKUP(AO66,'OSM - Rating and Score'!$C$47:$D$52,2,0)*CS$6,2)</f>
        <v>0.15</v>
      </c>
      <c r="CT66" s="29"/>
      <c r="CU66" s="67">
        <f>ROUND(VLOOKUP(AQ66,'OSM - Rating and Score'!$C$47:$D$52,2,0)*CU$6,2)</f>
        <v>0.15</v>
      </c>
      <c r="CV66" s="29"/>
      <c r="CW66" s="67">
        <f>ROUND(VLOOKUP(AS66,'OSM - Rating and Score'!$C$47:$D$52,2,0)*CW$6,2)</f>
        <v>0.14000000000000001</v>
      </c>
      <c r="CX66" s="29"/>
      <c r="CY66" s="67">
        <f>ROUND(VLOOKUP(AU66,'OSM - Rating and Score'!$C$65:$D$70,2,0)*CY$6,2)</f>
        <v>0.1</v>
      </c>
      <c r="CZ66" s="29"/>
      <c r="DA66" s="67">
        <f>ROUND(VLOOKUP(AW66,'OSM - Rating and Score'!$C$8:$D$13,2,0)*DA$6,2)</f>
        <v>0</v>
      </c>
      <c r="DB66" s="29"/>
      <c r="DC66" s="67">
        <f>ROUND(VLOOKUP(AY66,'OSM - Rating and Score'!$C$75:$D$80,2,0)*DC$6,2)</f>
        <v>0.2</v>
      </c>
      <c r="DD66" s="29"/>
    </row>
    <row r="67" spans="2:108" x14ac:dyDescent="0.45">
      <c r="B67" s="29"/>
      <c r="C67" s="7">
        <v>32</v>
      </c>
      <c r="D67" s="29"/>
      <c r="F67" s="29"/>
      <c r="G67" t="s">
        <v>402</v>
      </c>
      <c r="H67" s="29"/>
      <c r="I67" t="s">
        <v>84</v>
      </c>
      <c r="J67" s="29"/>
      <c r="K67" t="s">
        <v>85</v>
      </c>
      <c r="L67" s="29"/>
      <c r="M67" s="25"/>
      <c r="N67" s="29"/>
      <c r="O67" t="s">
        <v>112</v>
      </c>
      <c r="P67" s="29"/>
      <c r="Q67" t="s">
        <v>296</v>
      </c>
      <c r="R67" s="29"/>
      <c r="S67" t="s">
        <v>124</v>
      </c>
      <c r="T67" s="29"/>
      <c r="U67" t="s">
        <v>315</v>
      </c>
      <c r="V67" s="29"/>
      <c r="W67" s="25">
        <v>100</v>
      </c>
      <c r="X67" s="31"/>
      <c r="Y67" s="25">
        <v>3</v>
      </c>
      <c r="Z67" s="31"/>
      <c r="AA67" s="26">
        <v>0.28999999999999998</v>
      </c>
      <c r="AB67" s="31"/>
      <c r="AC67" s="27">
        <f t="shared" si="0"/>
        <v>11</v>
      </c>
      <c r="AD67" s="29"/>
      <c r="AE67" t="s">
        <v>84</v>
      </c>
      <c r="AF67" s="29"/>
      <c r="AG67" t="s">
        <v>86</v>
      </c>
      <c r="AH67" s="29"/>
      <c r="AI67" s="60">
        <v>0.4</v>
      </c>
      <c r="AJ67" s="29"/>
      <c r="AK67" t="s">
        <v>84</v>
      </c>
      <c r="AL67" s="29"/>
      <c r="AM67" t="s">
        <v>148</v>
      </c>
      <c r="AN67" s="29"/>
      <c r="AO67" t="s">
        <v>148</v>
      </c>
      <c r="AP67" s="29"/>
      <c r="AQ67" t="s">
        <v>148</v>
      </c>
      <c r="AR67" s="29"/>
      <c r="AS67" t="s">
        <v>149</v>
      </c>
      <c r="AT67" s="29"/>
      <c r="AU67" t="s">
        <v>288</v>
      </c>
      <c r="AV67" s="29"/>
      <c r="AW67" t="s">
        <v>86</v>
      </c>
      <c r="AX67" s="29"/>
      <c r="AY67" t="s">
        <v>84</v>
      </c>
      <c r="AZ67" s="31"/>
      <c r="BA67" s="27" t="str">
        <f t="shared" si="1"/>
        <v>✓</v>
      </c>
      <c r="BB67" s="31"/>
      <c r="BC67" s="69">
        <f t="shared" si="2"/>
        <v>2.85</v>
      </c>
      <c r="BD67" s="31"/>
      <c r="BE67" s="27" t="str">
        <f>IFERROR(LOOKUP(BC67,'OSM - Rating and Score'!$G$103:$I$108,'OSM - Rating and Score'!$C$103:$C$108),"")</f>
        <v>Moderate</v>
      </c>
      <c r="BF67" s="31"/>
      <c r="BG67" s="7" t="s">
        <v>427</v>
      </c>
      <c r="BH67" s="7"/>
      <c r="BI67" s="7"/>
      <c r="BJ67" s="7"/>
      <c r="BK67" s="7"/>
      <c r="BL67" s="29"/>
      <c r="BM67" s="67">
        <f>ROUND(VLOOKUP(I67,'OSM - Rating and Score'!$C$8:$D$13,2,0)*BM$6,2)</f>
        <v>0</v>
      </c>
      <c r="BN67" s="29"/>
      <c r="BO67" s="67">
        <f>ROUND(VLOOKUP(K67,'OSM - Rating and Score'!$C$8:$D$13,2,0)*BO$6,2)</f>
        <v>0.1</v>
      </c>
      <c r="BP67" s="29"/>
      <c r="BQ67" s="66"/>
      <c r="BR67" s="29"/>
      <c r="BS67" s="67">
        <f>ROUND(VLOOKUP(O67,'OSM - Rating and Score'!$C$17:$D$22,2,0)*BS$6,2)</f>
        <v>0.15</v>
      </c>
      <c r="BT67" s="29"/>
      <c r="BU67" s="67">
        <f>ROUND(VLOOKUP(Q67,'OSM - Rating and Score'!$C$56:$D$61,2,0)*BU$6,2)</f>
        <v>0.21</v>
      </c>
      <c r="BV67" s="29"/>
      <c r="BW67" s="67">
        <f>ROUND(VLOOKUP(S67,'OSM - Rating and Score'!$C$26:$D$31,2,0)*BW$6,2)</f>
        <v>0.15</v>
      </c>
      <c r="BX67" s="29"/>
      <c r="BY67" s="67">
        <f>ROUND(VLOOKUP(U67,'OSM - Rating and Score'!$C$35:$D$40,2,0)*BY$6,2)</f>
        <v>0.21</v>
      </c>
      <c r="BZ67" s="29"/>
      <c r="CA67" s="66"/>
      <c r="CB67" s="29"/>
      <c r="CC67" s="67">
        <f>ROUND(LOOKUP(Y67,'OSM - Rating and Score'!$G$85:$I$90,'OSM - Rating and Score'!$D$85:$D$90)*CC$6,2)</f>
        <v>0.2</v>
      </c>
      <c r="CD67" s="29"/>
      <c r="CE67" s="67">
        <f>ROUND(LOOKUP(AA67,'OSM - Rating and Score'!$G$113:$I$118,'OSM - Rating and Score'!$D$113:$D$118)*CE$6,2)</f>
        <v>0.24</v>
      </c>
      <c r="CF67" s="29"/>
      <c r="CG67" s="67">
        <f>ROUND(LOOKUP(AC67,'OSM - Rating and Score'!$G$94:$I$99,'OSM - Rating and Score'!$D$85:$D$90)*CG$6,2)</f>
        <v>0.1</v>
      </c>
      <c r="CH67" s="29"/>
      <c r="CI67" s="67">
        <f>ROUND(VLOOKUP(AE67,'OSM - Rating and Score'!$C$8:$D$13,2,0)*CI$6,2)</f>
        <v>0.3</v>
      </c>
      <c r="CJ67" s="29"/>
      <c r="CK67" s="67">
        <f>ROUND(VLOOKUP(AG67,'OSM - Rating and Score'!$C$8:$D$13,2,0)*CK$6,2)</f>
        <v>0.04</v>
      </c>
      <c r="CL67" s="29"/>
      <c r="CM67" s="67">
        <v>0</v>
      </c>
      <c r="CN67" s="29"/>
      <c r="CO67" s="67">
        <f>ROUND(VLOOKUP(AK67,'OSM - Rating and Score'!$C$8:$D$13,2,0)*CO$6,2)</f>
        <v>0.21</v>
      </c>
      <c r="CP67" s="29"/>
      <c r="CQ67" s="67">
        <f>ROUND(VLOOKUP(AM67,'OSM - Rating and Score'!$C$47:$D$52,2,0)*CQ$6,2)</f>
        <v>0.15</v>
      </c>
      <c r="CR67" s="29"/>
      <c r="CS67" s="67">
        <f>ROUND(VLOOKUP(AO67,'OSM - Rating and Score'!$C$47:$D$52,2,0)*CS$6,2)</f>
        <v>0.15</v>
      </c>
      <c r="CT67" s="29"/>
      <c r="CU67" s="67">
        <f>ROUND(VLOOKUP(AQ67,'OSM - Rating and Score'!$C$47:$D$52,2,0)*CU$6,2)</f>
        <v>0.15</v>
      </c>
      <c r="CV67" s="29"/>
      <c r="CW67" s="67">
        <f>ROUND(VLOOKUP(AS67,'OSM - Rating and Score'!$C$47:$D$52,2,0)*CW$6,2)</f>
        <v>0.14000000000000001</v>
      </c>
      <c r="CX67" s="29"/>
      <c r="CY67" s="67">
        <f>ROUND(VLOOKUP(AU67,'OSM - Rating and Score'!$C$65:$D$70,2,0)*CY$6,2)</f>
        <v>0.2</v>
      </c>
      <c r="CZ67" s="29"/>
      <c r="DA67" s="67">
        <f>ROUND(VLOOKUP(AW67,'OSM - Rating and Score'!$C$8:$D$13,2,0)*DA$6,2)</f>
        <v>0</v>
      </c>
      <c r="DB67" s="29"/>
      <c r="DC67" s="67">
        <f>ROUND(VLOOKUP(AY67,'OSM - Rating and Score'!$C$75:$D$80,2,0)*DC$6,2)</f>
        <v>0.15</v>
      </c>
      <c r="DD67" s="29"/>
    </row>
    <row r="68" spans="2:108" x14ac:dyDescent="0.45">
      <c r="B68" s="29"/>
      <c r="C68" s="31"/>
      <c r="D68" s="29"/>
      <c r="F68" s="29"/>
      <c r="G68" s="29" t="s">
        <v>403</v>
      </c>
      <c r="H68" s="29"/>
      <c r="I68" t="s">
        <v>84</v>
      </c>
      <c r="J68" s="29"/>
      <c r="K68" t="s">
        <v>85</v>
      </c>
      <c r="L68" s="29"/>
      <c r="M68" s="25"/>
      <c r="N68" s="29"/>
      <c r="O68" t="s">
        <v>114</v>
      </c>
      <c r="P68" s="29"/>
      <c r="Q68" t="s">
        <v>296</v>
      </c>
      <c r="R68" s="29"/>
      <c r="S68" t="s">
        <v>124</v>
      </c>
      <c r="T68" s="29"/>
      <c r="U68" t="s">
        <v>316</v>
      </c>
      <c r="V68" s="29"/>
      <c r="W68" s="25">
        <v>150</v>
      </c>
      <c r="X68" s="31"/>
      <c r="Y68" s="25">
        <v>1.5</v>
      </c>
      <c r="Z68" s="31"/>
      <c r="AA68" s="26">
        <v>0.45</v>
      </c>
      <c r="AB68" s="31"/>
      <c r="AC68" s="27">
        <f t="shared" si="0"/>
        <v>10</v>
      </c>
      <c r="AD68" s="29"/>
      <c r="AE68" t="s">
        <v>84</v>
      </c>
      <c r="AF68" s="29"/>
      <c r="AG68" t="s">
        <v>86</v>
      </c>
      <c r="AH68" s="29"/>
      <c r="AI68" s="60">
        <v>0.4</v>
      </c>
      <c r="AJ68" s="29"/>
      <c r="AK68" t="s">
        <v>84</v>
      </c>
      <c r="AL68" s="29"/>
      <c r="AM68" t="s">
        <v>147</v>
      </c>
      <c r="AN68" s="29"/>
      <c r="AO68" t="s">
        <v>148</v>
      </c>
      <c r="AP68" s="29"/>
      <c r="AQ68" t="s">
        <v>148</v>
      </c>
      <c r="AR68" s="29"/>
      <c r="AS68" t="s">
        <v>149</v>
      </c>
      <c r="AT68" s="29"/>
      <c r="AU68" t="s">
        <v>148</v>
      </c>
      <c r="AV68" s="29"/>
      <c r="AW68" t="s">
        <v>86</v>
      </c>
      <c r="AX68" s="29"/>
      <c r="AY68" t="s">
        <v>84</v>
      </c>
      <c r="AZ68" s="31"/>
      <c r="BA68" s="27" t="str">
        <f t="shared" si="1"/>
        <v>✓</v>
      </c>
      <c r="BB68" s="31"/>
      <c r="BC68" s="69">
        <f t="shared" si="2"/>
        <v>2.81</v>
      </c>
      <c r="BD68" s="31"/>
      <c r="BE68" s="27" t="str">
        <f>IFERROR(LOOKUP(BC68,'OSM - Rating and Score'!$G$103:$I$108,'OSM - Rating and Score'!$C$103:$C$108),"")</f>
        <v>Moderate</v>
      </c>
      <c r="BF68" s="31"/>
      <c r="BG68" s="7" t="s">
        <v>428</v>
      </c>
      <c r="BH68" s="7"/>
      <c r="BI68" s="7"/>
      <c r="BJ68" s="7"/>
      <c r="BK68" s="7"/>
      <c r="BL68" s="29"/>
      <c r="BM68" s="67">
        <f>ROUND(VLOOKUP(I68,'OSM - Rating and Score'!$C$8:$D$13,2,0)*BM$6,2)</f>
        <v>0</v>
      </c>
      <c r="BN68" s="29"/>
      <c r="BO68" s="67">
        <f>ROUND(VLOOKUP(K68,'OSM - Rating and Score'!$C$8:$D$13,2,0)*BO$6,2)</f>
        <v>0.1</v>
      </c>
      <c r="BP68" s="29"/>
      <c r="BQ68" s="66"/>
      <c r="BR68" s="29"/>
      <c r="BS68" s="67">
        <f>ROUND(VLOOKUP(O68,'OSM - Rating and Score'!$C$17:$D$22,2,0)*BS$6,2)</f>
        <v>0.1</v>
      </c>
      <c r="BT68" s="29"/>
      <c r="BU68" s="67">
        <f>ROUND(VLOOKUP(Q68,'OSM - Rating and Score'!$C$56:$D$61,2,0)*BU$6,2)</f>
        <v>0.21</v>
      </c>
      <c r="BV68" s="29"/>
      <c r="BW68" s="67">
        <f>ROUND(VLOOKUP(S68,'OSM - Rating and Score'!$C$26:$D$31,2,0)*BW$6,2)</f>
        <v>0.15</v>
      </c>
      <c r="BX68" s="29"/>
      <c r="BY68" s="67">
        <f>ROUND(VLOOKUP(U68,'OSM - Rating and Score'!$C$35:$D$40,2,0)*BY$6,2)</f>
        <v>0.14000000000000001</v>
      </c>
      <c r="BZ68" s="29"/>
      <c r="CA68" s="66"/>
      <c r="CB68" s="29"/>
      <c r="CC68" s="67">
        <f>ROUND(LOOKUP(Y68,'OSM - Rating and Score'!$G$85:$I$90,'OSM - Rating and Score'!$D$85:$D$90)*CC$6,2)</f>
        <v>0.2</v>
      </c>
      <c r="CD68" s="29"/>
      <c r="CE68" s="67">
        <f>ROUND(LOOKUP(AA68,'OSM - Rating and Score'!$G$113:$I$118,'OSM - Rating and Score'!$D$113:$D$118)*CE$6,2)</f>
        <v>0.32</v>
      </c>
      <c r="CF68" s="29"/>
      <c r="CG68" s="67">
        <f>ROUND(LOOKUP(AC68,'OSM - Rating and Score'!$G$94:$I$99,'OSM - Rating and Score'!$D$85:$D$90)*CG$6,2)</f>
        <v>0.1</v>
      </c>
      <c r="CH68" s="29"/>
      <c r="CI68" s="67">
        <f>ROUND(VLOOKUP(AE68,'OSM - Rating and Score'!$C$8:$D$13,2,0)*CI$6,2)</f>
        <v>0.3</v>
      </c>
      <c r="CJ68" s="29"/>
      <c r="CK68" s="67">
        <f>ROUND(VLOOKUP(AG68,'OSM - Rating and Score'!$C$8:$D$13,2,0)*CK$6,2)</f>
        <v>0.04</v>
      </c>
      <c r="CL68" s="29"/>
      <c r="CM68" s="67">
        <v>0</v>
      </c>
      <c r="CN68" s="29"/>
      <c r="CO68" s="67">
        <f>ROUND(VLOOKUP(AK68,'OSM - Rating and Score'!$C$8:$D$13,2,0)*CO$6,2)</f>
        <v>0.21</v>
      </c>
      <c r="CP68" s="29"/>
      <c r="CQ68" s="67">
        <f>ROUND(VLOOKUP(AM68,'OSM - Rating and Score'!$C$47:$D$52,2,0)*CQ$6,2)</f>
        <v>0.2</v>
      </c>
      <c r="CR68" s="29"/>
      <c r="CS68" s="67">
        <f>ROUND(VLOOKUP(AO68,'OSM - Rating and Score'!$C$47:$D$52,2,0)*CS$6,2)</f>
        <v>0.15</v>
      </c>
      <c r="CT68" s="29"/>
      <c r="CU68" s="67">
        <f>ROUND(VLOOKUP(AQ68,'OSM - Rating and Score'!$C$47:$D$52,2,0)*CU$6,2)</f>
        <v>0.15</v>
      </c>
      <c r="CV68" s="29"/>
      <c r="CW68" s="67">
        <f>ROUND(VLOOKUP(AS68,'OSM - Rating and Score'!$C$47:$D$52,2,0)*CW$6,2)</f>
        <v>0.14000000000000001</v>
      </c>
      <c r="CX68" s="29"/>
      <c r="CY68" s="67">
        <f>ROUND(VLOOKUP(AU68,'OSM - Rating and Score'!$C$65:$D$70,2,0)*CY$6,2)</f>
        <v>0.15</v>
      </c>
      <c r="CZ68" s="29"/>
      <c r="DA68" s="67">
        <f>ROUND(VLOOKUP(AW68,'OSM - Rating and Score'!$C$8:$D$13,2,0)*DA$6,2)</f>
        <v>0</v>
      </c>
      <c r="DB68" s="29"/>
      <c r="DC68" s="67">
        <f>ROUND(VLOOKUP(AY68,'OSM - Rating and Score'!$C$75:$D$80,2,0)*DC$6,2)</f>
        <v>0.15</v>
      </c>
      <c r="DD68" s="29"/>
    </row>
    <row r="69" spans="2:108" ht="42.75" x14ac:dyDescent="0.45">
      <c r="B69" s="29"/>
      <c r="C69" s="7">
        <v>33</v>
      </c>
      <c r="D69" s="29"/>
      <c r="E69" s="71" t="s">
        <v>358</v>
      </c>
      <c r="F69" s="29"/>
      <c r="G69" t="s">
        <v>404</v>
      </c>
      <c r="H69" s="29"/>
      <c r="I69" t="s">
        <v>84</v>
      </c>
      <c r="J69" s="29"/>
      <c r="K69" t="s">
        <v>83</v>
      </c>
      <c r="L69" s="29"/>
      <c r="M69" s="25"/>
      <c r="N69" s="29"/>
      <c r="O69" t="s">
        <v>110</v>
      </c>
      <c r="P69" s="29"/>
      <c r="Q69" t="s">
        <v>294</v>
      </c>
      <c r="R69" s="29"/>
      <c r="S69" t="s">
        <v>124</v>
      </c>
      <c r="T69" s="29"/>
      <c r="U69" t="s">
        <v>315</v>
      </c>
      <c r="V69" s="29"/>
      <c r="W69" s="25">
        <v>9</v>
      </c>
      <c r="X69" s="31"/>
      <c r="Y69" s="25">
        <v>2</v>
      </c>
      <c r="Z69" s="31"/>
      <c r="AA69" s="26">
        <v>0.3</v>
      </c>
      <c r="AB69" s="31"/>
      <c r="AC69" s="27">
        <f>ROUND(Y69*(1+AA69)^5,0)</f>
        <v>7</v>
      </c>
      <c r="AD69" s="29"/>
      <c r="AE69" t="s">
        <v>83</v>
      </c>
      <c r="AF69" s="29"/>
      <c r="AG69" t="s">
        <v>86</v>
      </c>
      <c r="AH69" s="29"/>
      <c r="AI69" s="60">
        <v>0</v>
      </c>
      <c r="AJ69" s="29"/>
      <c r="AK69" t="s">
        <v>83</v>
      </c>
      <c r="AL69" s="29"/>
      <c r="AM69" t="s">
        <v>149</v>
      </c>
      <c r="AN69" s="29"/>
      <c r="AO69" t="s">
        <v>147</v>
      </c>
      <c r="AP69" s="29"/>
      <c r="AQ69" t="s">
        <v>148</v>
      </c>
      <c r="AR69" s="29"/>
      <c r="AS69" t="s">
        <v>146</v>
      </c>
      <c r="AT69" s="29"/>
      <c r="AU69" t="s">
        <v>148</v>
      </c>
      <c r="AV69" s="29"/>
      <c r="AW69" t="s">
        <v>86</v>
      </c>
      <c r="AX69" s="29"/>
      <c r="AY69" t="s">
        <v>216</v>
      </c>
      <c r="AZ69" s="31"/>
      <c r="BA69" s="27" t="str">
        <f>IF(COUNTA(AY69,AW69,AU69,AS69,AQ69,AO69,AM69,AK69,AI69,AG69,AE69,AC69,AA69,Y69,W69,U69,S69,Q69,O69,K69,I69)=21,"✓","✗")</f>
        <v>✓</v>
      </c>
      <c r="BB69" s="31"/>
      <c r="BC69" s="69">
        <f>IFERROR(SUM(BM69:DC69),"")</f>
        <v>3.45</v>
      </c>
      <c r="BD69" s="31"/>
      <c r="BE69" s="27" t="str">
        <f>IFERROR(LOOKUP(BC69,'OSM - Rating and Score'!$G$103:$I$108,'OSM - Rating and Score'!$C$103:$C$108),"")</f>
        <v>Moderate</v>
      </c>
      <c r="BF69" s="31"/>
      <c r="BG69" s="70" t="s">
        <v>409</v>
      </c>
      <c r="BH69" s="70" t="s">
        <v>415</v>
      </c>
      <c r="BI69" s="7"/>
      <c r="BJ69" s="7"/>
      <c r="BK69" s="7"/>
      <c r="BL69" s="29"/>
      <c r="BM69" s="67">
        <f>ROUND(VLOOKUP(I69,'OSM - Rating and Score'!$C$8:$D$13,2,0)*BM$6,2)</f>
        <v>0</v>
      </c>
      <c r="BN69" s="29"/>
      <c r="BO69" s="67">
        <f>ROUND(VLOOKUP(K69,'OSM - Rating and Score'!$C$8:$D$13,2,0)*BO$6,2)</f>
        <v>0.2</v>
      </c>
      <c r="BP69" s="29"/>
      <c r="BQ69" s="66"/>
      <c r="BR69" s="29"/>
      <c r="BS69" s="67">
        <f>ROUND(VLOOKUP(O69,'OSM - Rating and Score'!$C$17:$D$22,2,0)*BS$6,2)</f>
        <v>0.2</v>
      </c>
      <c r="BT69" s="29"/>
      <c r="BU69" s="67">
        <f>ROUND(VLOOKUP(Q69,'OSM - Rating and Score'!$C$56:$D$61,2,0)*BU$6,2)</f>
        <v>0.28000000000000003</v>
      </c>
      <c r="BV69" s="29"/>
      <c r="BW69" s="67">
        <f>ROUND(VLOOKUP(S69,'OSM - Rating and Score'!$C$26:$D$31,2,0)*BW$6,2)</f>
        <v>0.15</v>
      </c>
      <c r="BX69" s="29"/>
      <c r="BY69" s="67">
        <f>ROUND(VLOOKUP(U69,'OSM - Rating and Score'!$C$35:$D$40,2,0)*BY$6,2)</f>
        <v>0.21</v>
      </c>
      <c r="BZ69" s="29"/>
      <c r="CA69" s="66"/>
      <c r="CB69" s="29"/>
      <c r="CC69" s="67">
        <f>ROUND(LOOKUP(Y69,'OSM - Rating and Score'!$G$85:$I$90,'OSM - Rating and Score'!$D$85:$D$90)*CC$6,2)</f>
        <v>0.2</v>
      </c>
      <c r="CD69" s="29"/>
      <c r="CE69" s="67">
        <f>ROUND(LOOKUP(AA69,'OSM - Rating and Score'!$G$113:$I$118,'OSM - Rating and Score'!$D$113:$D$118)*CE$6,2)</f>
        <v>0.24</v>
      </c>
      <c r="CF69" s="29"/>
      <c r="CG69" s="67">
        <f>ROUND(LOOKUP(AC69,'OSM - Rating and Score'!$G$94:$I$99,'OSM - Rating and Score'!$D$85:$D$90)*CG$6,2)</f>
        <v>0.1</v>
      </c>
      <c r="CH69" s="29"/>
      <c r="CI69" s="67">
        <f>ROUND(VLOOKUP(AE69,'OSM - Rating and Score'!$C$8:$D$13,2,0)*CI$6,2)</f>
        <v>0.4</v>
      </c>
      <c r="CJ69" s="29"/>
      <c r="CK69" s="67">
        <f>ROUND(VLOOKUP(AG69,'OSM - Rating and Score'!$C$8:$D$13,2,0)*CK$6,2)</f>
        <v>0.04</v>
      </c>
      <c r="CL69" s="29"/>
      <c r="CM69" s="67">
        <v>0</v>
      </c>
      <c r="CN69" s="29"/>
      <c r="CO69" s="67">
        <f>ROUND(VLOOKUP(AK69,'OSM - Rating and Score'!$C$8:$D$13,2,0)*CO$6,2)</f>
        <v>0.28000000000000003</v>
      </c>
      <c r="CP69" s="29"/>
      <c r="CQ69" s="67">
        <f>ROUND(VLOOKUP(AM69,'OSM - Rating and Score'!$C$47:$D$52,2,0)*CQ$6,2)</f>
        <v>0.1</v>
      </c>
      <c r="CR69" s="29"/>
      <c r="CS69" s="67">
        <f>ROUND(VLOOKUP(AO69,'OSM - Rating and Score'!$C$47:$D$52,2,0)*CS$6,2)</f>
        <v>0.2</v>
      </c>
      <c r="CT69" s="29"/>
      <c r="CU69" s="67">
        <f>ROUND(VLOOKUP(AQ69,'OSM - Rating and Score'!$C$47:$D$52,2,0)*CU$6,2)</f>
        <v>0.15</v>
      </c>
      <c r="CV69" s="29"/>
      <c r="CW69" s="67">
        <f>ROUND(VLOOKUP(AS69,'OSM - Rating and Score'!$C$47:$D$52,2,0)*CW$6,2)</f>
        <v>0.35</v>
      </c>
      <c r="CX69" s="29"/>
      <c r="CY69" s="67">
        <f>ROUND(VLOOKUP(AU69,'OSM - Rating and Score'!$C$65:$D$70,2,0)*CY$6,2)</f>
        <v>0.15</v>
      </c>
      <c r="CZ69" s="29"/>
      <c r="DA69" s="67">
        <f>ROUND(VLOOKUP(AW69,'OSM - Rating and Score'!$C$8:$D$13,2,0)*DA$6,2)</f>
        <v>0</v>
      </c>
      <c r="DB69" s="29"/>
      <c r="DC69" s="67">
        <f>ROUND(VLOOKUP(AY69,'OSM - Rating and Score'!$C$75:$D$80,2,0)*DC$6,2)</f>
        <v>0.2</v>
      </c>
      <c r="DD69" s="29"/>
    </row>
    <row r="70" spans="2:108" x14ac:dyDescent="0.45">
      <c r="B70" s="29"/>
      <c r="C70" s="31"/>
      <c r="D70" s="29"/>
      <c r="F70" s="29"/>
      <c r="H70" s="29"/>
      <c r="J70" s="29"/>
      <c r="L70" s="29"/>
      <c r="M70" s="25"/>
      <c r="N70" s="29"/>
      <c r="P70" s="29"/>
      <c r="R70" s="29"/>
      <c r="T70" s="29"/>
      <c r="V70" s="29"/>
      <c r="W70" s="25"/>
      <c r="X70" s="31"/>
      <c r="Y70" s="25"/>
      <c r="Z70" s="31"/>
      <c r="AA70" s="26"/>
      <c r="AB70" s="31"/>
      <c r="AC70" s="27">
        <f t="shared" si="0"/>
        <v>0</v>
      </c>
      <c r="AD70" s="29"/>
      <c r="AF70" s="29"/>
      <c r="AH70" s="29"/>
      <c r="AI70" s="60"/>
      <c r="AJ70" s="29"/>
      <c r="AL70" s="29"/>
      <c r="AN70" s="29"/>
      <c r="AP70" s="29"/>
      <c r="AR70" s="29"/>
      <c r="AT70" s="29"/>
      <c r="AV70" s="29"/>
      <c r="AX70" s="29"/>
      <c r="AZ70" s="31"/>
      <c r="BA70" s="27" t="str">
        <f t="shared" si="1"/>
        <v>✗</v>
      </c>
      <c r="BB70" s="31"/>
      <c r="BC70" s="69" t="str">
        <f t="shared" si="2"/>
        <v/>
      </c>
      <c r="BD70" s="31"/>
      <c r="BE70" s="27" t="str">
        <f>IFERROR(LOOKUP(BC70,'OSM - Rating and Score'!$G$103:$I$108,'OSM - Rating and Score'!$C$103:$C$108),"")</f>
        <v/>
      </c>
      <c r="BF70" s="31"/>
      <c r="BG70" s="7"/>
      <c r="BH70" s="7"/>
      <c r="BI70" s="7"/>
      <c r="BJ70" s="7"/>
      <c r="BK70" s="7"/>
      <c r="BL70" s="29"/>
      <c r="BM70" s="67" t="e">
        <f>ROUND(VLOOKUP(I70,'OSM - Rating and Score'!$C$8:$D$13,2,0)*BM$6,2)</f>
        <v>#N/A</v>
      </c>
      <c r="BN70" s="29"/>
      <c r="BO70" s="67" t="e">
        <f>ROUND(VLOOKUP(K70,'OSM - Rating and Score'!$C$8:$D$13,2,0)*BO$6,2)</f>
        <v>#N/A</v>
      </c>
      <c r="BP70" s="29"/>
      <c r="BQ70" s="66"/>
      <c r="BR70" s="29"/>
      <c r="BS70" s="67" t="e">
        <f>ROUND(VLOOKUP(O70,'OSM - Rating and Score'!$C$17:$D$22,2,0)*BS$6,2)</f>
        <v>#N/A</v>
      </c>
      <c r="BT70" s="29"/>
      <c r="BU70" s="67" t="e">
        <f>ROUND(VLOOKUP(Q70,'OSM - Rating and Score'!$C$56:$D$61,2,0)*BU$6,2)</f>
        <v>#N/A</v>
      </c>
      <c r="BV70" s="29"/>
      <c r="BW70" s="67" t="e">
        <f>ROUND(VLOOKUP(S70,'OSM - Rating and Score'!$C$26:$D$31,2,0)*BW$6,2)</f>
        <v>#N/A</v>
      </c>
      <c r="BX70" s="29"/>
      <c r="BY70" s="67" t="e">
        <f>ROUND(VLOOKUP(U70,'OSM - Rating and Score'!$C$35:$D$40,2,0)*BY$6,2)</f>
        <v>#N/A</v>
      </c>
      <c r="BZ70" s="29"/>
      <c r="CA70" s="66"/>
      <c r="CB70" s="29"/>
      <c r="CC70" s="67">
        <f>ROUND(LOOKUP(Y70,'OSM - Rating and Score'!$G$85:$I$90,'OSM - Rating and Score'!$D$85:$D$90)*CC$6,2)</f>
        <v>0</v>
      </c>
      <c r="CD70" s="29"/>
      <c r="CE70" s="67">
        <f>ROUND(LOOKUP(AA70,'OSM - Rating and Score'!$G$113:$I$118,'OSM - Rating and Score'!$D$113:$D$118)*CE$6,2)</f>
        <v>0</v>
      </c>
      <c r="CF70" s="29"/>
      <c r="CG70" s="67">
        <f>ROUND(LOOKUP(AC70,'OSM - Rating and Score'!$G$94:$I$99,'OSM - Rating and Score'!$D$85:$D$90)*CG$6,2)</f>
        <v>0</v>
      </c>
      <c r="CH70" s="29"/>
      <c r="CI70" s="67" t="e">
        <f>ROUND(VLOOKUP(AE70,'OSM - Rating and Score'!$C$8:$D$13,2,0)*CI$6,2)</f>
        <v>#N/A</v>
      </c>
      <c r="CJ70" s="29"/>
      <c r="CK70" s="67" t="e">
        <f>ROUND(VLOOKUP(AG70,'OSM - Rating and Score'!$C$8:$D$13,2,0)*CK$6,2)</f>
        <v>#N/A</v>
      </c>
      <c r="CL70" s="29"/>
      <c r="CM70" s="67">
        <v>0</v>
      </c>
      <c r="CN70" s="29"/>
      <c r="CO70" s="67" t="e">
        <f>ROUND(VLOOKUP(AK70,'OSM - Rating and Score'!$C$8:$D$13,2,0)*CO$6,2)</f>
        <v>#N/A</v>
      </c>
      <c r="CP70" s="29"/>
      <c r="CQ70" s="67" t="e">
        <f>ROUND(VLOOKUP(AM70,'OSM - Rating and Score'!$C$47:$D$52,2,0)*CQ$6,2)</f>
        <v>#N/A</v>
      </c>
      <c r="CR70" s="29"/>
      <c r="CS70" s="67" t="e">
        <f>ROUND(VLOOKUP(AO70,'OSM - Rating and Score'!$C$47:$D$52,2,0)*CS$6,2)</f>
        <v>#N/A</v>
      </c>
      <c r="CT70" s="29"/>
      <c r="CU70" s="67" t="e">
        <f>ROUND(VLOOKUP(AQ70,'OSM - Rating and Score'!$C$47:$D$52,2,0)*CU$6,2)</f>
        <v>#N/A</v>
      </c>
      <c r="CV70" s="29"/>
      <c r="CW70" s="67" t="e">
        <f>ROUND(VLOOKUP(AS70,'OSM - Rating and Score'!$C$47:$D$52,2,0)*CW$6,2)</f>
        <v>#N/A</v>
      </c>
      <c r="CX70" s="29"/>
      <c r="CY70" s="67" t="e">
        <f>ROUND(VLOOKUP(AU70,'OSM - Rating and Score'!$C$65:$D$70,2,0)*CY$6,2)</f>
        <v>#N/A</v>
      </c>
      <c r="CZ70" s="29"/>
      <c r="DA70" s="67" t="e">
        <f>ROUND(VLOOKUP(AW70,'OSM - Rating and Score'!$C$8:$D$13,2,0)*DA$6,2)</f>
        <v>#N/A</v>
      </c>
      <c r="DB70" s="29"/>
      <c r="DC70" s="67" t="e">
        <f>ROUND(VLOOKUP(AY70,'OSM - Rating and Score'!$C$75:$D$80,2,0)*DC$6,2)</f>
        <v>#N/A</v>
      </c>
      <c r="DD70" s="29"/>
    </row>
    <row r="71" spans="2:108" ht="57" x14ac:dyDescent="0.45">
      <c r="B71" s="29"/>
      <c r="C71" s="7">
        <v>34</v>
      </c>
      <c r="D71" s="29"/>
      <c r="E71" s="71" t="s">
        <v>410</v>
      </c>
      <c r="F71" s="29"/>
      <c r="G71" t="s">
        <v>411</v>
      </c>
      <c r="H71" s="29"/>
      <c r="I71" t="s">
        <v>83</v>
      </c>
      <c r="J71" s="29"/>
      <c r="K71" t="s">
        <v>83</v>
      </c>
      <c r="L71" s="29"/>
      <c r="M71" s="25"/>
      <c r="N71" s="29"/>
      <c r="O71" t="s">
        <v>110</v>
      </c>
      <c r="P71" s="29"/>
      <c r="Q71" t="s">
        <v>296</v>
      </c>
      <c r="R71" s="29"/>
      <c r="S71" t="s">
        <v>124</v>
      </c>
      <c r="T71" s="29"/>
      <c r="U71" t="s">
        <v>315</v>
      </c>
      <c r="V71" s="29"/>
      <c r="W71" s="25">
        <v>8</v>
      </c>
      <c r="X71" s="31"/>
      <c r="Y71" s="25">
        <v>8</v>
      </c>
      <c r="Z71" s="31"/>
      <c r="AA71" s="26">
        <v>0.3</v>
      </c>
      <c r="AB71" s="31"/>
      <c r="AC71" s="27">
        <f>ROUND(Y71*(1+AA71)^5,0)</f>
        <v>30</v>
      </c>
      <c r="AD71" s="29"/>
      <c r="AE71" t="s">
        <v>83</v>
      </c>
      <c r="AF71" s="29"/>
      <c r="AG71" t="s">
        <v>86</v>
      </c>
      <c r="AH71" s="29"/>
      <c r="AI71" s="60">
        <v>0</v>
      </c>
      <c r="AJ71" s="29"/>
      <c r="AK71" t="s">
        <v>83</v>
      </c>
      <c r="AL71" s="29"/>
      <c r="AM71" t="s">
        <v>149</v>
      </c>
      <c r="AN71" s="29"/>
      <c r="AO71" t="s">
        <v>147</v>
      </c>
      <c r="AP71" s="29"/>
      <c r="AQ71" t="s">
        <v>148</v>
      </c>
      <c r="AR71" s="29"/>
      <c r="AS71" t="s">
        <v>146</v>
      </c>
      <c r="AT71" s="29"/>
      <c r="AU71" t="s">
        <v>148</v>
      </c>
      <c r="AV71" s="29"/>
      <c r="AW71" t="s">
        <v>83</v>
      </c>
      <c r="AX71" s="29"/>
      <c r="AY71" t="s">
        <v>216</v>
      </c>
      <c r="AZ71" s="31"/>
      <c r="BA71" s="27" t="str">
        <f>IF(COUNTA(AY71,AW71,AU71,AS71,AQ71,AO71,AM71,AK71,AI71,AG71,AE71,AC71,AA71,Y71,W71,U71,S71,Q71,O71,K71,I71)=21,"✓","✗")</f>
        <v>✓</v>
      </c>
      <c r="BB71" s="31"/>
      <c r="BC71" s="69">
        <f>IFERROR(SUM(BM71:DC71),"")</f>
        <v>3.7800000000000002</v>
      </c>
      <c r="BD71" s="31"/>
      <c r="BE71" s="27" t="str">
        <f>IFERROR(LOOKUP(BC71,'OSM - Rating and Score'!$G$103:$I$108,'OSM - Rating and Score'!$C$103:$C$108),"")</f>
        <v>Attractive</v>
      </c>
      <c r="BF71" s="31"/>
      <c r="BG71" s="70" t="s">
        <v>412</v>
      </c>
      <c r="BH71" s="7" t="s">
        <v>416</v>
      </c>
      <c r="BI71" s="7"/>
      <c r="BJ71" s="7"/>
      <c r="BK71" s="7"/>
      <c r="BL71" s="29"/>
      <c r="BM71" s="67">
        <f>ROUND(VLOOKUP(I71,'OSM - Rating and Score'!$C$8:$D$13,2,0)*BM$6,2)</f>
        <v>0</v>
      </c>
      <c r="BN71" s="29"/>
      <c r="BO71" s="67">
        <f>ROUND(VLOOKUP(K71,'OSM - Rating and Score'!$C$8:$D$13,2,0)*BO$6,2)</f>
        <v>0.2</v>
      </c>
      <c r="BP71" s="29"/>
      <c r="BQ71" s="66"/>
      <c r="BR71" s="29"/>
      <c r="BS71" s="67">
        <f>ROUND(VLOOKUP(O71,'OSM - Rating and Score'!$C$17:$D$22,2,0)*BS$6,2)</f>
        <v>0.2</v>
      </c>
      <c r="BT71" s="29"/>
      <c r="BU71" s="67">
        <f>ROUND(VLOOKUP(Q71,'OSM - Rating and Score'!$C$56:$D$61,2,0)*BU$6,2)</f>
        <v>0.21</v>
      </c>
      <c r="BV71" s="29"/>
      <c r="BW71" s="67">
        <f>ROUND(VLOOKUP(S71,'OSM - Rating and Score'!$C$26:$D$31,2,0)*BW$6,2)</f>
        <v>0.15</v>
      </c>
      <c r="BX71" s="29"/>
      <c r="BY71" s="67">
        <f>ROUND(VLOOKUP(U71,'OSM - Rating and Score'!$C$35:$D$40,2,0)*BY$6,2)</f>
        <v>0.21</v>
      </c>
      <c r="BZ71" s="29"/>
      <c r="CA71" s="66"/>
      <c r="CB71" s="29"/>
      <c r="CC71" s="67">
        <f>ROUND(LOOKUP(Y71,'OSM - Rating and Score'!$G$85:$I$90,'OSM - Rating and Score'!$D$85:$D$90)*CC$6,2)</f>
        <v>0.3</v>
      </c>
      <c r="CD71" s="29"/>
      <c r="CE71" s="67">
        <f>ROUND(LOOKUP(AA71,'OSM - Rating and Score'!$G$113:$I$118,'OSM - Rating and Score'!$D$113:$D$118)*CE$6,2)</f>
        <v>0.24</v>
      </c>
      <c r="CF71" s="29"/>
      <c r="CG71" s="67">
        <f>ROUND(LOOKUP(AC71,'OSM - Rating and Score'!$G$94:$I$99,'OSM - Rating and Score'!$D$85:$D$90)*CG$6,2)</f>
        <v>0.4</v>
      </c>
      <c r="CH71" s="29"/>
      <c r="CI71" s="67">
        <f>ROUND(VLOOKUP(AE71,'OSM - Rating and Score'!$C$8:$D$13,2,0)*CI$6,2)</f>
        <v>0.4</v>
      </c>
      <c r="CJ71" s="29"/>
      <c r="CK71" s="67">
        <f>ROUND(VLOOKUP(AG71,'OSM - Rating and Score'!$C$8:$D$13,2,0)*CK$6,2)</f>
        <v>0.04</v>
      </c>
      <c r="CL71" s="29"/>
      <c r="CM71" s="67">
        <v>0</v>
      </c>
      <c r="CN71" s="29"/>
      <c r="CO71" s="67">
        <f>ROUND(VLOOKUP(AK71,'OSM - Rating and Score'!$C$8:$D$13,2,0)*CO$6,2)</f>
        <v>0.28000000000000003</v>
      </c>
      <c r="CP71" s="29"/>
      <c r="CQ71" s="67">
        <f>ROUND(VLOOKUP(AM71,'OSM - Rating and Score'!$C$47:$D$52,2,0)*CQ$6,2)</f>
        <v>0.1</v>
      </c>
      <c r="CR71" s="29"/>
      <c r="CS71" s="67">
        <f>ROUND(VLOOKUP(AO71,'OSM - Rating and Score'!$C$47:$D$52,2,0)*CS$6,2)</f>
        <v>0.2</v>
      </c>
      <c r="CT71" s="29"/>
      <c r="CU71" s="67">
        <f>ROUND(VLOOKUP(AQ71,'OSM - Rating and Score'!$C$47:$D$52,2,0)*CU$6,2)</f>
        <v>0.15</v>
      </c>
      <c r="CV71" s="29"/>
      <c r="CW71" s="67">
        <f>ROUND(VLOOKUP(AS71,'OSM - Rating and Score'!$C$47:$D$52,2,0)*CW$6,2)</f>
        <v>0.35</v>
      </c>
      <c r="CX71" s="29"/>
      <c r="CY71" s="67">
        <f>ROUND(VLOOKUP(AU71,'OSM - Rating and Score'!$C$65:$D$70,2,0)*CY$6,2)</f>
        <v>0.15</v>
      </c>
      <c r="CZ71" s="29"/>
      <c r="DA71" s="67">
        <f>ROUND(VLOOKUP(AW71,'OSM - Rating and Score'!$C$8:$D$13,2,0)*DA$6,2)</f>
        <v>0</v>
      </c>
      <c r="DB71" s="29"/>
      <c r="DC71" s="67">
        <f>ROUND(VLOOKUP(AY71,'OSM - Rating and Score'!$C$75:$D$80,2,0)*DC$6,2)</f>
        <v>0.2</v>
      </c>
      <c r="DD71" s="29"/>
    </row>
    <row r="72" spans="2:108" x14ac:dyDescent="0.45">
      <c r="B72" s="29"/>
      <c r="C72" s="7">
        <v>35</v>
      </c>
      <c r="D72" s="29"/>
      <c r="E72" t="s">
        <v>429</v>
      </c>
      <c r="F72" s="29"/>
      <c r="G72" t="s">
        <v>430</v>
      </c>
      <c r="H72" s="29"/>
      <c r="I72" t="s">
        <v>83</v>
      </c>
      <c r="J72" s="29"/>
      <c r="K72" t="s">
        <v>84</v>
      </c>
      <c r="L72" s="29"/>
      <c r="M72" s="25"/>
      <c r="N72" s="29"/>
      <c r="O72" t="s">
        <v>114</v>
      </c>
      <c r="P72" s="29"/>
      <c r="Q72" t="s">
        <v>296</v>
      </c>
      <c r="R72" s="29"/>
      <c r="S72" t="s">
        <v>124</v>
      </c>
      <c r="T72" s="29"/>
      <c r="U72" t="s">
        <v>315</v>
      </c>
      <c r="V72" s="29"/>
      <c r="W72" s="25">
        <v>200</v>
      </c>
      <c r="X72" s="31"/>
      <c r="Y72" s="25">
        <v>8</v>
      </c>
      <c r="Z72" s="31"/>
      <c r="AA72" s="26">
        <v>0.2</v>
      </c>
      <c r="AB72" s="31"/>
      <c r="AC72" s="27">
        <f t="shared" si="0"/>
        <v>20</v>
      </c>
      <c r="AD72" s="29"/>
      <c r="AE72" t="s">
        <v>85</v>
      </c>
      <c r="AF72" s="29"/>
      <c r="AG72" t="s">
        <v>86</v>
      </c>
      <c r="AH72" s="29"/>
      <c r="AI72" s="60">
        <v>0</v>
      </c>
      <c r="AJ72" s="29"/>
      <c r="AK72" t="s">
        <v>83</v>
      </c>
      <c r="AL72" s="29"/>
      <c r="AM72" t="s">
        <v>147</v>
      </c>
      <c r="AN72" s="29"/>
      <c r="AO72" t="s">
        <v>147</v>
      </c>
      <c r="AP72" s="29"/>
      <c r="AQ72" t="s">
        <v>149</v>
      </c>
      <c r="AR72" s="29"/>
      <c r="AS72" t="s">
        <v>149</v>
      </c>
      <c r="AT72" s="29"/>
      <c r="AU72" t="s">
        <v>148</v>
      </c>
      <c r="AV72" s="29"/>
      <c r="AW72" t="s">
        <v>84</v>
      </c>
      <c r="AX72" s="29"/>
      <c r="AY72" t="s">
        <v>216</v>
      </c>
      <c r="AZ72" s="31"/>
      <c r="BA72" s="27" t="str">
        <f t="shared" si="1"/>
        <v>✓</v>
      </c>
      <c r="BB72" s="31"/>
      <c r="BC72" s="69">
        <f t="shared" si="2"/>
        <v>2.99</v>
      </c>
      <c r="BD72" s="31"/>
      <c r="BE72" s="27" t="str">
        <f>IFERROR(LOOKUP(BC72,'OSM - Rating and Score'!$G$103:$I$108,'OSM - Rating and Score'!$C$103:$C$108),"")</f>
        <v>Moderate</v>
      </c>
      <c r="BF72" s="31"/>
      <c r="BG72" s="7"/>
      <c r="BH72" s="7"/>
      <c r="BI72" s="7"/>
      <c r="BJ72" s="7"/>
      <c r="BK72" s="7"/>
      <c r="BL72" s="29"/>
      <c r="BM72" s="67">
        <f>ROUND(VLOOKUP(I72,'OSM - Rating and Score'!$C$8:$D$13,2,0)*BM$6,2)</f>
        <v>0</v>
      </c>
      <c r="BN72" s="29"/>
      <c r="BO72" s="67">
        <f>ROUND(VLOOKUP(K72,'OSM - Rating and Score'!$C$8:$D$13,2,0)*BO$6,2)</f>
        <v>0.15</v>
      </c>
      <c r="BP72" s="29"/>
      <c r="BQ72" s="66"/>
      <c r="BR72" s="29"/>
      <c r="BS72" s="67">
        <f>ROUND(VLOOKUP(O72,'OSM - Rating and Score'!$C$17:$D$22,2,0)*BS$6,2)</f>
        <v>0.1</v>
      </c>
      <c r="BT72" s="29"/>
      <c r="BU72" s="67">
        <f>ROUND(VLOOKUP(Q72,'OSM - Rating and Score'!$C$56:$D$61,2,0)*BU$6,2)</f>
        <v>0.21</v>
      </c>
      <c r="BV72" s="29"/>
      <c r="BW72" s="67">
        <f>ROUND(VLOOKUP(S72,'OSM - Rating and Score'!$C$26:$D$31,2,0)*BW$6,2)</f>
        <v>0.15</v>
      </c>
      <c r="BX72" s="29"/>
      <c r="BY72" s="67">
        <f>ROUND(VLOOKUP(U72,'OSM - Rating and Score'!$C$35:$D$40,2,0)*BY$6,2)</f>
        <v>0.21</v>
      </c>
      <c r="BZ72" s="29"/>
      <c r="CA72" s="66"/>
      <c r="CB72" s="29"/>
      <c r="CC72" s="67">
        <f>ROUND(LOOKUP(Y72,'OSM - Rating and Score'!$G$85:$I$90,'OSM - Rating and Score'!$D$85:$D$90)*CC$6,2)</f>
        <v>0.3</v>
      </c>
      <c r="CD72" s="29"/>
      <c r="CE72" s="67">
        <f>ROUND(LOOKUP(AA72,'OSM - Rating and Score'!$G$113:$I$118,'OSM - Rating and Score'!$D$113:$D$118)*CE$6,2)</f>
        <v>0.16</v>
      </c>
      <c r="CF72" s="29"/>
      <c r="CG72" s="67">
        <f>ROUND(LOOKUP(AC72,'OSM - Rating and Score'!$G$94:$I$99,'OSM - Rating and Score'!$D$85:$D$90)*CG$6,2)</f>
        <v>0.2</v>
      </c>
      <c r="CH72" s="29"/>
      <c r="CI72" s="67">
        <f>ROUND(VLOOKUP(AE72,'OSM - Rating and Score'!$C$8:$D$13,2,0)*CI$6,2)</f>
        <v>0.2</v>
      </c>
      <c r="CJ72" s="29"/>
      <c r="CK72" s="67">
        <f>ROUND(VLOOKUP(AG72,'OSM - Rating and Score'!$C$8:$D$13,2,0)*CK$6,2)</f>
        <v>0.04</v>
      </c>
      <c r="CL72" s="29"/>
      <c r="CM72" s="67">
        <v>0</v>
      </c>
      <c r="CN72" s="29"/>
      <c r="CO72" s="67">
        <f>ROUND(VLOOKUP(AK72,'OSM - Rating and Score'!$C$8:$D$13,2,0)*CO$6,2)</f>
        <v>0.28000000000000003</v>
      </c>
      <c r="CP72" s="29"/>
      <c r="CQ72" s="67">
        <f>ROUND(VLOOKUP(AM72,'OSM - Rating and Score'!$C$47:$D$52,2,0)*CQ$6,2)</f>
        <v>0.2</v>
      </c>
      <c r="CR72" s="29"/>
      <c r="CS72" s="67">
        <f>ROUND(VLOOKUP(AO72,'OSM - Rating and Score'!$C$47:$D$52,2,0)*CS$6,2)</f>
        <v>0.2</v>
      </c>
      <c r="CT72" s="29"/>
      <c r="CU72" s="67">
        <f>ROUND(VLOOKUP(AQ72,'OSM - Rating and Score'!$C$47:$D$52,2,0)*CU$6,2)</f>
        <v>0.1</v>
      </c>
      <c r="CV72" s="29"/>
      <c r="CW72" s="67">
        <f>ROUND(VLOOKUP(AS72,'OSM - Rating and Score'!$C$47:$D$52,2,0)*CW$6,2)</f>
        <v>0.14000000000000001</v>
      </c>
      <c r="CX72" s="29"/>
      <c r="CY72" s="67">
        <f>ROUND(VLOOKUP(AU72,'OSM - Rating and Score'!$C$65:$D$70,2,0)*CY$6,2)</f>
        <v>0.15</v>
      </c>
      <c r="CZ72" s="29"/>
      <c r="DA72" s="67">
        <f>ROUND(VLOOKUP(AW72,'OSM - Rating and Score'!$C$8:$D$13,2,0)*DA$6,2)</f>
        <v>0</v>
      </c>
      <c r="DB72" s="29"/>
      <c r="DC72" s="67">
        <f>ROUND(VLOOKUP(AY72,'OSM - Rating and Score'!$C$75:$D$80,2,0)*DC$6,2)</f>
        <v>0.2</v>
      </c>
      <c r="DD72" s="29"/>
    </row>
    <row r="73" spans="2:108" x14ac:dyDescent="0.45">
      <c r="B73" s="29"/>
      <c r="C73" s="31"/>
      <c r="D73" s="29"/>
      <c r="F73" s="29"/>
      <c r="H73" s="29"/>
      <c r="J73" s="29"/>
      <c r="L73" s="29"/>
      <c r="M73" s="25"/>
      <c r="N73" s="29"/>
      <c r="P73" s="29"/>
      <c r="R73" s="29"/>
      <c r="T73" s="29"/>
      <c r="V73" s="29"/>
      <c r="W73" s="25"/>
      <c r="X73" s="31"/>
      <c r="Y73" s="25"/>
      <c r="Z73" s="31"/>
      <c r="AA73" s="26"/>
      <c r="AB73" s="31"/>
      <c r="AC73" s="27">
        <f t="shared" si="0"/>
        <v>0</v>
      </c>
      <c r="AD73" s="29"/>
      <c r="AF73" s="29"/>
      <c r="AH73" s="29"/>
      <c r="AI73" s="60"/>
      <c r="AJ73" s="29"/>
      <c r="AL73" s="29"/>
      <c r="AN73" s="29"/>
      <c r="AP73" s="29"/>
      <c r="AR73" s="29"/>
      <c r="AT73" s="29"/>
      <c r="AV73" s="29"/>
      <c r="AX73" s="29"/>
      <c r="AZ73" s="31"/>
      <c r="BA73" s="27" t="str">
        <f t="shared" si="1"/>
        <v>✗</v>
      </c>
      <c r="BB73" s="31"/>
      <c r="BC73" s="69" t="str">
        <f t="shared" si="2"/>
        <v/>
      </c>
      <c r="BD73" s="31"/>
      <c r="BE73" s="27" t="str">
        <f>IFERROR(LOOKUP(BC73,'OSM - Rating and Score'!$G$103:$I$108,'OSM - Rating and Score'!$C$103:$C$108),"")</f>
        <v/>
      </c>
      <c r="BF73" s="31"/>
      <c r="BG73" s="7"/>
      <c r="BH73" s="7"/>
      <c r="BI73" s="7"/>
      <c r="BJ73" s="7"/>
      <c r="BK73" s="7"/>
      <c r="BL73" s="29"/>
      <c r="BM73" s="67" t="e">
        <f>ROUND(VLOOKUP(I73,'OSM - Rating and Score'!$C$8:$D$13,2,0)*BM$6,2)</f>
        <v>#N/A</v>
      </c>
      <c r="BN73" s="29"/>
      <c r="BO73" s="67" t="e">
        <f>ROUND(VLOOKUP(K73,'OSM - Rating and Score'!$C$8:$D$13,2,0)*BO$6,2)</f>
        <v>#N/A</v>
      </c>
      <c r="BP73" s="29"/>
      <c r="BQ73" s="66"/>
      <c r="BR73" s="29"/>
      <c r="BS73" s="67" t="e">
        <f>ROUND(VLOOKUP(O73,'OSM - Rating and Score'!$C$17:$D$22,2,0)*BS$6,2)</f>
        <v>#N/A</v>
      </c>
      <c r="BT73" s="29"/>
      <c r="BU73" s="67" t="e">
        <f>ROUND(VLOOKUP(Q73,'OSM - Rating and Score'!$C$56:$D$61,2,0)*BU$6,2)</f>
        <v>#N/A</v>
      </c>
      <c r="BV73" s="29"/>
      <c r="BW73" s="67" t="e">
        <f>ROUND(VLOOKUP(S73,'OSM - Rating and Score'!$C$26:$D$31,2,0)*BW$6,2)</f>
        <v>#N/A</v>
      </c>
      <c r="BX73" s="29"/>
      <c r="BY73" s="67" t="e">
        <f>ROUND(VLOOKUP(U73,'OSM - Rating and Score'!$C$35:$D$40,2,0)*BY$6,2)</f>
        <v>#N/A</v>
      </c>
      <c r="BZ73" s="29"/>
      <c r="CA73" s="66"/>
      <c r="CB73" s="29"/>
      <c r="CC73" s="67">
        <f>ROUND(LOOKUP(Y73,'OSM - Rating and Score'!$G$85:$I$90,'OSM - Rating and Score'!$D$85:$D$90)*CC$6,2)</f>
        <v>0</v>
      </c>
      <c r="CD73" s="29"/>
      <c r="CE73" s="67">
        <f>ROUND(LOOKUP(AA73,'OSM - Rating and Score'!$G$113:$I$118,'OSM - Rating and Score'!$D$113:$D$118)*CE$6,2)</f>
        <v>0</v>
      </c>
      <c r="CF73" s="29"/>
      <c r="CG73" s="67">
        <f>ROUND(LOOKUP(AC73,'OSM - Rating and Score'!$G$94:$I$99,'OSM - Rating and Score'!$D$85:$D$90)*CG$6,2)</f>
        <v>0</v>
      </c>
      <c r="CH73" s="29"/>
      <c r="CI73" s="67" t="e">
        <f>ROUND(VLOOKUP(AE73,'OSM - Rating and Score'!$C$8:$D$13,2,0)*CI$6,2)</f>
        <v>#N/A</v>
      </c>
      <c r="CJ73" s="29"/>
      <c r="CK73" s="67" t="e">
        <f>ROUND(VLOOKUP(AG73,'OSM - Rating and Score'!$C$8:$D$13,2,0)*CK$6,2)</f>
        <v>#N/A</v>
      </c>
      <c r="CL73" s="29"/>
      <c r="CM73" s="67">
        <v>0</v>
      </c>
      <c r="CN73" s="29"/>
      <c r="CO73" s="67" t="e">
        <f>ROUND(VLOOKUP(AK73,'OSM - Rating and Score'!$C$8:$D$13,2,0)*CO$6,2)</f>
        <v>#N/A</v>
      </c>
      <c r="CP73" s="29"/>
      <c r="CQ73" s="67" t="e">
        <f>ROUND(VLOOKUP(AM73,'OSM - Rating and Score'!$C$47:$D$52,2,0)*CQ$6,2)</f>
        <v>#N/A</v>
      </c>
      <c r="CR73" s="29"/>
      <c r="CS73" s="67" t="e">
        <f>ROUND(VLOOKUP(AO73,'OSM - Rating and Score'!$C$47:$D$52,2,0)*CS$6,2)</f>
        <v>#N/A</v>
      </c>
      <c r="CT73" s="29"/>
      <c r="CU73" s="67" t="e">
        <f>ROUND(VLOOKUP(AQ73,'OSM - Rating and Score'!$C$47:$D$52,2,0)*CU$6,2)</f>
        <v>#N/A</v>
      </c>
      <c r="CV73" s="29"/>
      <c r="CW73" s="67" t="e">
        <f>ROUND(VLOOKUP(AS73,'OSM - Rating and Score'!$C$47:$D$52,2,0)*CW$6,2)</f>
        <v>#N/A</v>
      </c>
      <c r="CX73" s="29"/>
      <c r="CY73" s="67" t="e">
        <f>ROUND(VLOOKUP(AU73,'OSM - Rating and Score'!$C$65:$D$70,2,0)*CY$6,2)</f>
        <v>#N/A</v>
      </c>
      <c r="CZ73" s="29"/>
      <c r="DA73" s="67" t="e">
        <f>ROUND(VLOOKUP(AW73,'OSM - Rating and Score'!$C$8:$D$13,2,0)*DA$6,2)</f>
        <v>#N/A</v>
      </c>
      <c r="DB73" s="29"/>
      <c r="DC73" s="67" t="e">
        <f>ROUND(VLOOKUP(AY73,'OSM - Rating and Score'!$C$75:$D$80,2,0)*DC$6,2)</f>
        <v>#N/A</v>
      </c>
      <c r="DD73" s="29"/>
    </row>
    <row r="74" spans="2:108" x14ac:dyDescent="0.45">
      <c r="B74" s="29"/>
      <c r="C74" s="7">
        <v>36</v>
      </c>
      <c r="D74" s="29"/>
      <c r="F74" s="29"/>
      <c r="H74" s="29"/>
      <c r="J74" s="29"/>
      <c r="L74" s="29"/>
      <c r="M74" s="25"/>
      <c r="N74" s="29"/>
      <c r="P74" s="29"/>
      <c r="R74" s="29"/>
      <c r="T74" s="29"/>
      <c r="V74" s="29"/>
      <c r="W74" s="25"/>
      <c r="X74" s="31"/>
      <c r="Y74" s="25"/>
      <c r="Z74" s="31"/>
      <c r="AA74" s="26"/>
      <c r="AB74" s="31"/>
      <c r="AC74" s="27">
        <f t="shared" si="0"/>
        <v>0</v>
      </c>
      <c r="AD74" s="29"/>
      <c r="AF74" s="29"/>
      <c r="AH74" s="29"/>
      <c r="AI74" s="60"/>
      <c r="AJ74" s="29"/>
      <c r="AL74" s="29"/>
      <c r="AN74" s="29"/>
      <c r="AP74" s="29"/>
      <c r="AR74" s="29"/>
      <c r="AT74" s="29"/>
      <c r="AV74" s="29"/>
      <c r="AX74" s="29"/>
      <c r="AZ74" s="31"/>
      <c r="BA74" s="27" t="str">
        <f t="shared" si="1"/>
        <v>✗</v>
      </c>
      <c r="BB74" s="31"/>
      <c r="BC74" s="69" t="str">
        <f t="shared" si="2"/>
        <v/>
      </c>
      <c r="BD74" s="31"/>
      <c r="BE74" s="27" t="str">
        <f>IFERROR(LOOKUP(BC74,'OSM - Rating and Score'!$G$103:$I$108,'OSM - Rating and Score'!$C$103:$C$108),"")</f>
        <v/>
      </c>
      <c r="BF74" s="31"/>
      <c r="BG74" s="7"/>
      <c r="BH74" s="7"/>
      <c r="BI74" s="7"/>
      <c r="BJ74" s="7"/>
      <c r="BK74" s="7"/>
      <c r="BL74" s="29"/>
      <c r="BM74" s="67" t="e">
        <f>ROUND(VLOOKUP(I74,'OSM - Rating and Score'!$C$8:$D$13,2,0)*BM$6,2)</f>
        <v>#N/A</v>
      </c>
      <c r="BN74" s="29"/>
      <c r="BO74" s="67" t="e">
        <f>ROUND(VLOOKUP(K74,'OSM - Rating and Score'!$C$8:$D$13,2,0)*BO$6,2)</f>
        <v>#N/A</v>
      </c>
      <c r="BP74" s="29"/>
      <c r="BQ74" s="66"/>
      <c r="BR74" s="29"/>
      <c r="BS74" s="67" t="e">
        <f>ROUND(VLOOKUP(O74,'OSM - Rating and Score'!$C$17:$D$22,2,0)*BS$6,2)</f>
        <v>#N/A</v>
      </c>
      <c r="BT74" s="29"/>
      <c r="BU74" s="67" t="e">
        <f>ROUND(VLOOKUP(Q74,'OSM - Rating and Score'!$C$56:$D$61,2,0)*BU$6,2)</f>
        <v>#N/A</v>
      </c>
      <c r="BV74" s="29"/>
      <c r="BW74" s="67" t="e">
        <f>ROUND(VLOOKUP(S74,'OSM - Rating and Score'!$C$26:$D$31,2,0)*BW$6,2)</f>
        <v>#N/A</v>
      </c>
      <c r="BX74" s="29"/>
      <c r="BY74" s="67" t="e">
        <f>ROUND(VLOOKUP(U74,'OSM - Rating and Score'!$C$35:$D$40,2,0)*BY$6,2)</f>
        <v>#N/A</v>
      </c>
      <c r="BZ74" s="29"/>
      <c r="CA74" s="66"/>
      <c r="CB74" s="29"/>
      <c r="CC74" s="67">
        <f>ROUND(LOOKUP(Y74,'OSM - Rating and Score'!$G$85:$I$90,'OSM - Rating and Score'!$D$85:$D$90)*CC$6,2)</f>
        <v>0</v>
      </c>
      <c r="CD74" s="29"/>
      <c r="CE74" s="67">
        <f>ROUND(LOOKUP(AA74,'OSM - Rating and Score'!$G$113:$I$118,'OSM - Rating and Score'!$D$113:$D$118)*CE$6,2)</f>
        <v>0</v>
      </c>
      <c r="CF74" s="29"/>
      <c r="CG74" s="67">
        <f>ROUND(LOOKUP(AC74,'OSM - Rating and Score'!$G$94:$I$99,'OSM - Rating and Score'!$D$85:$D$90)*CG$6,2)</f>
        <v>0</v>
      </c>
      <c r="CH74" s="29"/>
      <c r="CI74" s="67" t="e">
        <f>ROUND(VLOOKUP(AE74,'OSM - Rating and Score'!$C$8:$D$13,2,0)*CI$6,2)</f>
        <v>#N/A</v>
      </c>
      <c r="CJ74" s="29"/>
      <c r="CK74" s="67" t="e">
        <f>ROUND(VLOOKUP(AG74,'OSM - Rating and Score'!$C$8:$D$13,2,0)*CK$6,2)</f>
        <v>#N/A</v>
      </c>
      <c r="CL74" s="29"/>
      <c r="CM74" s="67">
        <v>0</v>
      </c>
      <c r="CN74" s="29"/>
      <c r="CO74" s="67" t="e">
        <f>ROUND(VLOOKUP(AK74,'OSM - Rating and Score'!$C$8:$D$13,2,0)*CO$6,2)</f>
        <v>#N/A</v>
      </c>
      <c r="CP74" s="29"/>
      <c r="CQ74" s="67" t="e">
        <f>ROUND(VLOOKUP(AM74,'OSM - Rating and Score'!$C$47:$D$52,2,0)*CQ$6,2)</f>
        <v>#N/A</v>
      </c>
      <c r="CR74" s="29"/>
      <c r="CS74" s="67" t="e">
        <f>ROUND(VLOOKUP(AO74,'OSM - Rating and Score'!$C$47:$D$52,2,0)*CS$6,2)</f>
        <v>#N/A</v>
      </c>
      <c r="CT74" s="29"/>
      <c r="CU74" s="67" t="e">
        <f>ROUND(VLOOKUP(AQ74,'OSM - Rating and Score'!$C$47:$D$52,2,0)*CU$6,2)</f>
        <v>#N/A</v>
      </c>
      <c r="CV74" s="29"/>
      <c r="CW74" s="67" t="e">
        <f>ROUND(VLOOKUP(AS74,'OSM - Rating and Score'!$C$47:$D$52,2,0)*CW$6,2)</f>
        <v>#N/A</v>
      </c>
      <c r="CX74" s="29"/>
      <c r="CY74" s="67" t="e">
        <f>ROUND(VLOOKUP(AU74,'OSM - Rating and Score'!$C$65:$D$70,2,0)*CY$6,2)</f>
        <v>#N/A</v>
      </c>
      <c r="CZ74" s="29"/>
      <c r="DA74" s="67" t="e">
        <f>ROUND(VLOOKUP(AW74,'OSM - Rating and Score'!$C$8:$D$13,2,0)*DA$6,2)</f>
        <v>#N/A</v>
      </c>
      <c r="DB74" s="29"/>
      <c r="DC74" s="67" t="e">
        <f>ROUND(VLOOKUP(AY74,'OSM - Rating and Score'!$C$75:$D$80,2,0)*DC$6,2)</f>
        <v>#N/A</v>
      </c>
      <c r="DD74" s="29"/>
    </row>
    <row r="75" spans="2:108" x14ac:dyDescent="0.45">
      <c r="B75" s="29"/>
      <c r="C75" s="31"/>
      <c r="D75" s="29"/>
      <c r="F75" s="29"/>
      <c r="H75" s="29"/>
      <c r="J75" s="29"/>
      <c r="L75" s="29"/>
      <c r="M75" s="25"/>
      <c r="N75" s="29"/>
      <c r="P75" s="29"/>
      <c r="R75" s="29"/>
      <c r="T75" s="29"/>
      <c r="V75" s="29"/>
      <c r="W75" s="25"/>
      <c r="X75" s="31"/>
      <c r="Y75" s="25"/>
      <c r="Z75" s="31"/>
      <c r="AA75" s="26"/>
      <c r="AB75" s="31"/>
      <c r="AC75" s="27">
        <f t="shared" si="0"/>
        <v>0</v>
      </c>
      <c r="AD75" s="29"/>
      <c r="AF75" s="29"/>
      <c r="AH75" s="29"/>
      <c r="AI75" s="60"/>
      <c r="AJ75" s="29"/>
      <c r="AL75" s="29"/>
      <c r="AN75" s="29"/>
      <c r="AP75" s="29"/>
      <c r="AR75" s="29"/>
      <c r="AT75" s="29"/>
      <c r="AV75" s="29"/>
      <c r="AX75" s="29"/>
      <c r="AZ75" s="31"/>
      <c r="BA75" s="27" t="str">
        <f t="shared" si="1"/>
        <v>✗</v>
      </c>
      <c r="BB75" s="31"/>
      <c r="BC75" s="69" t="str">
        <f t="shared" si="2"/>
        <v/>
      </c>
      <c r="BD75" s="31"/>
      <c r="BE75" s="27" t="str">
        <f>IFERROR(LOOKUP(BC75,'OSM - Rating and Score'!$G$103:$I$108,'OSM - Rating and Score'!$C$103:$C$108),"")</f>
        <v/>
      </c>
      <c r="BF75" s="31"/>
      <c r="BG75" s="7"/>
      <c r="BH75" s="7"/>
      <c r="BI75" s="7"/>
      <c r="BJ75" s="7"/>
      <c r="BK75" s="7"/>
      <c r="BL75" s="29"/>
      <c r="BM75" s="67" t="e">
        <f>ROUND(VLOOKUP(I75,'OSM - Rating and Score'!$C$8:$D$13,2,0)*BM$6,2)</f>
        <v>#N/A</v>
      </c>
      <c r="BN75" s="29"/>
      <c r="BO75" s="67" t="e">
        <f>ROUND(VLOOKUP(K75,'OSM - Rating and Score'!$C$8:$D$13,2,0)*BO$6,2)</f>
        <v>#N/A</v>
      </c>
      <c r="BP75" s="29"/>
      <c r="BQ75" s="66"/>
      <c r="BR75" s="29"/>
      <c r="BS75" s="67" t="e">
        <f>ROUND(VLOOKUP(O75,'OSM - Rating and Score'!$C$17:$D$22,2,0)*BS$6,2)</f>
        <v>#N/A</v>
      </c>
      <c r="BT75" s="29"/>
      <c r="BU75" s="67" t="e">
        <f>ROUND(VLOOKUP(Q75,'OSM - Rating and Score'!$C$56:$D$61,2,0)*BU$6,2)</f>
        <v>#N/A</v>
      </c>
      <c r="BV75" s="29"/>
      <c r="BW75" s="67" t="e">
        <f>ROUND(VLOOKUP(S75,'OSM - Rating and Score'!$C$26:$D$31,2,0)*BW$6,2)</f>
        <v>#N/A</v>
      </c>
      <c r="BX75" s="29"/>
      <c r="BY75" s="67" t="e">
        <f>ROUND(VLOOKUP(U75,'OSM - Rating and Score'!$C$35:$D$40,2,0)*BY$6,2)</f>
        <v>#N/A</v>
      </c>
      <c r="BZ75" s="29"/>
      <c r="CA75" s="66"/>
      <c r="CB75" s="29"/>
      <c r="CC75" s="67">
        <f>ROUND(LOOKUP(Y75,'OSM - Rating and Score'!$G$85:$I$90,'OSM - Rating and Score'!$D$85:$D$90)*CC$6,2)</f>
        <v>0</v>
      </c>
      <c r="CD75" s="29"/>
      <c r="CE75" s="67">
        <f>ROUND(LOOKUP(AA75,'OSM - Rating and Score'!$G$113:$I$118,'OSM - Rating and Score'!$D$113:$D$118)*CE$6,2)</f>
        <v>0</v>
      </c>
      <c r="CF75" s="29"/>
      <c r="CG75" s="67">
        <f>ROUND(LOOKUP(AC75,'OSM - Rating and Score'!$G$94:$I$99,'OSM - Rating and Score'!$D$85:$D$90)*CG$6,2)</f>
        <v>0</v>
      </c>
      <c r="CH75" s="29"/>
      <c r="CI75" s="67" t="e">
        <f>ROUND(VLOOKUP(AE75,'OSM - Rating and Score'!$C$8:$D$13,2,0)*CI$6,2)</f>
        <v>#N/A</v>
      </c>
      <c r="CJ75" s="29"/>
      <c r="CK75" s="67" t="e">
        <f>ROUND(VLOOKUP(AG75,'OSM - Rating and Score'!$C$8:$D$13,2,0)*CK$6,2)</f>
        <v>#N/A</v>
      </c>
      <c r="CL75" s="29"/>
      <c r="CM75" s="67">
        <v>0</v>
      </c>
      <c r="CN75" s="29"/>
      <c r="CO75" s="67" t="e">
        <f>ROUND(VLOOKUP(AK75,'OSM - Rating and Score'!$C$8:$D$13,2,0)*CO$6,2)</f>
        <v>#N/A</v>
      </c>
      <c r="CP75" s="29"/>
      <c r="CQ75" s="67" t="e">
        <f>ROUND(VLOOKUP(AM75,'OSM - Rating and Score'!$C$47:$D$52,2,0)*CQ$6,2)</f>
        <v>#N/A</v>
      </c>
      <c r="CR75" s="29"/>
      <c r="CS75" s="67" t="e">
        <f>ROUND(VLOOKUP(AO75,'OSM - Rating and Score'!$C$47:$D$52,2,0)*CS$6,2)</f>
        <v>#N/A</v>
      </c>
      <c r="CT75" s="29"/>
      <c r="CU75" s="67" t="e">
        <f>ROUND(VLOOKUP(AQ75,'OSM - Rating and Score'!$C$47:$D$52,2,0)*CU$6,2)</f>
        <v>#N/A</v>
      </c>
      <c r="CV75" s="29"/>
      <c r="CW75" s="67" t="e">
        <f>ROUND(VLOOKUP(AS75,'OSM - Rating and Score'!$C$47:$D$52,2,0)*CW$6,2)</f>
        <v>#N/A</v>
      </c>
      <c r="CX75" s="29"/>
      <c r="CY75" s="67" t="e">
        <f>ROUND(VLOOKUP(AU75,'OSM - Rating and Score'!$C$65:$D$70,2,0)*CY$6,2)</f>
        <v>#N/A</v>
      </c>
      <c r="CZ75" s="29"/>
      <c r="DA75" s="67" t="e">
        <f>ROUND(VLOOKUP(AW75,'OSM - Rating and Score'!$C$8:$D$13,2,0)*DA$6,2)</f>
        <v>#N/A</v>
      </c>
      <c r="DB75" s="29"/>
      <c r="DC75" s="67" t="e">
        <f>ROUND(VLOOKUP(AY75,'OSM - Rating and Score'!$C$75:$D$80,2,0)*DC$6,2)</f>
        <v>#N/A</v>
      </c>
      <c r="DD75" s="29"/>
    </row>
    <row r="76" spans="2:108" x14ac:dyDescent="0.45">
      <c r="C76" s="7">
        <v>37</v>
      </c>
    </row>
  </sheetData>
  <autoFilter ref="B4:DD74" xr:uid="{47514827-C40E-4F5B-B2EC-6B9F554027C3}"/>
  <conditionalFormatting sqref="BC8">
    <cfRule type="cellIs" dxfId="129" priority="290" operator="lessThanOrEqual">
      <formula>1.5</formula>
    </cfRule>
    <cfRule type="cellIs" dxfId="128" priority="286" operator="between">
      <formula>4.5</formula>
      <formula>5</formula>
    </cfRule>
    <cfRule type="cellIs" dxfId="127" priority="287" operator="between">
      <formula>3.5</formula>
      <formula>4.49</formula>
    </cfRule>
    <cfRule type="cellIs" dxfId="126" priority="288" operator="between">
      <formula>2.5</formula>
      <formula>3.49</formula>
    </cfRule>
    <cfRule type="cellIs" dxfId="125" priority="289" operator="between">
      <formula>1.5</formula>
      <formula>2.49</formula>
    </cfRule>
  </conditionalFormatting>
  <conditionalFormatting sqref="BC10">
    <cfRule type="cellIs" dxfId="124" priority="132" operator="between">
      <formula>3.5</formula>
      <formula>4.49</formula>
    </cfRule>
    <cfRule type="cellIs" dxfId="123" priority="131" operator="between">
      <formula>4.5</formula>
      <formula>5</formula>
    </cfRule>
    <cfRule type="cellIs" dxfId="122" priority="134" operator="between">
      <formula>1.5</formula>
      <formula>2.49</formula>
    </cfRule>
    <cfRule type="cellIs" dxfId="121" priority="133" operator="between">
      <formula>2.5</formula>
      <formula>3.49</formula>
    </cfRule>
    <cfRule type="cellIs" dxfId="120" priority="135" operator="lessThanOrEqual">
      <formula>1.5</formula>
    </cfRule>
  </conditionalFormatting>
  <conditionalFormatting sqref="BC12">
    <cfRule type="cellIs" dxfId="119" priority="130" operator="lessThanOrEqual">
      <formula>1.5</formula>
    </cfRule>
    <cfRule type="cellIs" dxfId="118" priority="128" operator="between">
      <formula>2.5</formula>
      <formula>3.49</formula>
    </cfRule>
    <cfRule type="cellIs" dxfId="117" priority="127" operator="between">
      <formula>3.5</formula>
      <formula>4.49</formula>
    </cfRule>
    <cfRule type="cellIs" dxfId="116" priority="126" operator="between">
      <formula>4.5</formula>
      <formula>5</formula>
    </cfRule>
    <cfRule type="cellIs" dxfId="115" priority="129" operator="between">
      <formula>1.5</formula>
      <formula>2.49</formula>
    </cfRule>
  </conditionalFormatting>
  <conditionalFormatting sqref="BC14">
    <cfRule type="cellIs" dxfId="114" priority="125" operator="lessThanOrEqual">
      <formula>1.5</formula>
    </cfRule>
    <cfRule type="cellIs" dxfId="113" priority="123" operator="between">
      <formula>2.5</formula>
      <formula>3.49</formula>
    </cfRule>
    <cfRule type="cellIs" dxfId="112" priority="122" operator="between">
      <formula>3.5</formula>
      <formula>4.49</formula>
    </cfRule>
    <cfRule type="cellIs" dxfId="111" priority="121" operator="between">
      <formula>4.5</formula>
      <formula>5</formula>
    </cfRule>
    <cfRule type="cellIs" dxfId="110" priority="124" operator="between">
      <formula>1.5</formula>
      <formula>2.49</formula>
    </cfRule>
  </conditionalFormatting>
  <conditionalFormatting sqref="BC16">
    <cfRule type="cellIs" dxfId="109" priority="117" operator="between">
      <formula>3.5</formula>
      <formula>4.49</formula>
    </cfRule>
    <cfRule type="cellIs" dxfId="108" priority="120" operator="lessThanOrEqual">
      <formula>1.5</formula>
    </cfRule>
    <cfRule type="cellIs" dxfId="107" priority="119" operator="between">
      <formula>1.5</formula>
      <formula>2.49</formula>
    </cfRule>
    <cfRule type="cellIs" dxfId="106" priority="118" operator="between">
      <formula>2.5</formula>
      <formula>3.49</formula>
    </cfRule>
    <cfRule type="cellIs" dxfId="105" priority="116" operator="between">
      <formula>4.5</formula>
      <formula>5</formula>
    </cfRule>
  </conditionalFormatting>
  <conditionalFormatting sqref="BC18">
    <cfRule type="cellIs" dxfId="104" priority="115" operator="lessThanOrEqual">
      <formula>1.5</formula>
    </cfRule>
    <cfRule type="cellIs" dxfId="103" priority="114" operator="between">
      <formula>1.5</formula>
      <formula>2.49</formula>
    </cfRule>
    <cfRule type="cellIs" dxfId="102" priority="113" operator="between">
      <formula>2.5</formula>
      <formula>3.49</formula>
    </cfRule>
    <cfRule type="cellIs" dxfId="101" priority="112" operator="between">
      <formula>3.5</formula>
      <formula>4.49</formula>
    </cfRule>
    <cfRule type="cellIs" dxfId="100" priority="111" operator="between">
      <formula>4.5</formula>
      <formula>5</formula>
    </cfRule>
  </conditionalFormatting>
  <conditionalFormatting sqref="BC20">
    <cfRule type="cellIs" dxfId="99" priority="109" operator="between">
      <formula>1.5</formula>
      <formula>2.49</formula>
    </cfRule>
    <cfRule type="cellIs" dxfId="98" priority="107" operator="between">
      <formula>3.5</formula>
      <formula>4.49</formula>
    </cfRule>
    <cfRule type="cellIs" dxfId="97" priority="108" operator="between">
      <formula>2.5</formula>
      <formula>3.49</formula>
    </cfRule>
    <cfRule type="cellIs" dxfId="96" priority="106" operator="between">
      <formula>4.5</formula>
      <formula>5</formula>
    </cfRule>
    <cfRule type="cellIs" dxfId="95" priority="110" operator="lessThanOrEqual">
      <formula>1.5</formula>
    </cfRule>
  </conditionalFormatting>
  <conditionalFormatting sqref="BC23">
    <cfRule type="cellIs" dxfId="94" priority="105" operator="lessThanOrEqual">
      <formula>1.5</formula>
    </cfRule>
    <cfRule type="cellIs" dxfId="93" priority="104" operator="between">
      <formula>1.5</formula>
      <formula>2.49</formula>
    </cfRule>
    <cfRule type="cellIs" dxfId="92" priority="103" operator="between">
      <formula>2.5</formula>
      <formula>3.49</formula>
    </cfRule>
    <cfRule type="cellIs" dxfId="91" priority="102" operator="between">
      <formula>3.5</formula>
      <formula>4.49</formula>
    </cfRule>
    <cfRule type="cellIs" dxfId="90" priority="101" operator="between">
      <formula>4.5</formula>
      <formula>5</formula>
    </cfRule>
  </conditionalFormatting>
  <conditionalFormatting sqref="BC25">
    <cfRule type="cellIs" dxfId="89" priority="100" operator="lessThanOrEqual">
      <formula>1.5</formula>
    </cfRule>
    <cfRule type="cellIs" dxfId="88" priority="99" operator="between">
      <formula>1.5</formula>
      <formula>2.49</formula>
    </cfRule>
    <cfRule type="cellIs" dxfId="87" priority="97" operator="between">
      <formula>3.5</formula>
      <formula>4.49</formula>
    </cfRule>
    <cfRule type="cellIs" dxfId="86" priority="96" operator="between">
      <formula>4.5</formula>
      <formula>5</formula>
    </cfRule>
    <cfRule type="cellIs" dxfId="85" priority="98" operator="between">
      <formula>2.5</formula>
      <formula>3.49</formula>
    </cfRule>
  </conditionalFormatting>
  <conditionalFormatting sqref="BC27">
    <cfRule type="cellIs" dxfId="84" priority="92" operator="between">
      <formula>3.5</formula>
      <formula>4.49</formula>
    </cfRule>
    <cfRule type="cellIs" dxfId="83" priority="94" operator="between">
      <formula>1.5</formula>
      <formula>2.49</formula>
    </cfRule>
    <cfRule type="cellIs" dxfId="82" priority="91" operator="between">
      <formula>4.5</formula>
      <formula>5</formula>
    </cfRule>
    <cfRule type="cellIs" dxfId="81" priority="93" operator="between">
      <formula>2.5</formula>
      <formula>3.49</formula>
    </cfRule>
    <cfRule type="cellIs" dxfId="80" priority="95" operator="lessThanOrEqual">
      <formula>1.5</formula>
    </cfRule>
  </conditionalFormatting>
  <conditionalFormatting sqref="BC29">
    <cfRule type="cellIs" dxfId="79" priority="88" operator="between">
      <formula>2.5</formula>
      <formula>3.49</formula>
    </cfRule>
    <cfRule type="cellIs" dxfId="78" priority="87" operator="between">
      <formula>3.5</formula>
      <formula>4.49</formula>
    </cfRule>
    <cfRule type="cellIs" dxfId="77" priority="86" operator="between">
      <formula>4.5</formula>
      <formula>5</formula>
    </cfRule>
    <cfRule type="cellIs" dxfId="76" priority="90" operator="lessThanOrEqual">
      <formula>1.5</formula>
    </cfRule>
    <cfRule type="cellIs" dxfId="75" priority="89" operator="between">
      <formula>1.5</formula>
      <formula>2.49</formula>
    </cfRule>
  </conditionalFormatting>
  <conditionalFormatting sqref="BC31">
    <cfRule type="cellIs" dxfId="74" priority="84" operator="between">
      <formula>1.5</formula>
      <formula>2.49</formula>
    </cfRule>
    <cfRule type="cellIs" dxfId="73" priority="85" operator="lessThanOrEqual">
      <formula>1.5</formula>
    </cfRule>
    <cfRule type="cellIs" dxfId="72" priority="83" operator="between">
      <formula>2.5</formula>
      <formula>3.49</formula>
    </cfRule>
    <cfRule type="cellIs" dxfId="71" priority="82" operator="between">
      <formula>3.5</formula>
      <formula>4.49</formula>
    </cfRule>
    <cfRule type="cellIs" dxfId="70" priority="81" operator="between">
      <formula>4.5</formula>
      <formula>5</formula>
    </cfRule>
  </conditionalFormatting>
  <conditionalFormatting sqref="BC33">
    <cfRule type="cellIs" dxfId="69" priority="71" operator="between">
      <formula>4.5</formula>
      <formula>5</formula>
    </cfRule>
    <cfRule type="cellIs" dxfId="68" priority="74" operator="between">
      <formula>1.5</formula>
      <formula>2.49</formula>
    </cfRule>
    <cfRule type="cellIs" dxfId="67" priority="75" operator="lessThanOrEqual">
      <formula>1.5</formula>
    </cfRule>
    <cfRule type="cellIs" dxfId="66" priority="73" operator="between">
      <formula>2.5</formula>
      <formula>3.49</formula>
    </cfRule>
    <cfRule type="cellIs" dxfId="65" priority="72" operator="between">
      <formula>3.5</formula>
      <formula>4.49</formula>
    </cfRule>
  </conditionalFormatting>
  <conditionalFormatting sqref="BC35">
    <cfRule type="cellIs" dxfId="64" priority="20" operator="lessThanOrEqual">
      <formula>1.5</formula>
    </cfRule>
    <cfRule type="cellIs" dxfId="63" priority="19" operator="between">
      <formula>1.5</formula>
      <formula>2.49</formula>
    </cfRule>
    <cfRule type="cellIs" dxfId="62" priority="18" operator="between">
      <formula>2.5</formula>
      <formula>3.49</formula>
    </cfRule>
    <cfRule type="cellIs" dxfId="61" priority="17" operator="between">
      <formula>3.5</formula>
      <formula>4.49</formula>
    </cfRule>
    <cfRule type="cellIs" dxfId="60" priority="16" operator="between">
      <formula>4.5</formula>
      <formula>5</formula>
    </cfRule>
  </conditionalFormatting>
  <conditionalFormatting sqref="BC37">
    <cfRule type="cellIs" dxfId="59" priority="25" operator="lessThanOrEqual">
      <formula>1.5</formula>
    </cfRule>
    <cfRule type="cellIs" dxfId="58" priority="24" operator="between">
      <formula>1.5</formula>
      <formula>2.49</formula>
    </cfRule>
    <cfRule type="cellIs" dxfId="57" priority="23" operator="between">
      <formula>2.5</formula>
      <formula>3.49</formula>
    </cfRule>
    <cfRule type="cellIs" dxfId="56" priority="21" operator="between">
      <formula>4.5</formula>
      <formula>5</formula>
    </cfRule>
    <cfRule type="cellIs" dxfId="55" priority="22" operator="between">
      <formula>3.5</formula>
      <formula>4.49</formula>
    </cfRule>
  </conditionalFormatting>
  <conditionalFormatting sqref="BC39">
    <cfRule type="cellIs" dxfId="54" priority="30" operator="lessThanOrEqual">
      <formula>1.5</formula>
    </cfRule>
    <cfRule type="cellIs" dxfId="53" priority="29" operator="between">
      <formula>1.5</formula>
      <formula>2.49</formula>
    </cfRule>
    <cfRule type="cellIs" dxfId="52" priority="28" operator="between">
      <formula>2.5</formula>
      <formula>3.49</formula>
    </cfRule>
    <cfRule type="cellIs" dxfId="51" priority="26" operator="between">
      <formula>4.5</formula>
      <formula>5</formula>
    </cfRule>
    <cfRule type="cellIs" dxfId="50" priority="27" operator="between">
      <formula>3.5</formula>
      <formula>4.49</formula>
    </cfRule>
  </conditionalFormatting>
  <conditionalFormatting sqref="BC41">
    <cfRule type="cellIs" dxfId="49" priority="34" operator="between">
      <formula>1.5</formula>
      <formula>2.49</formula>
    </cfRule>
    <cfRule type="cellIs" dxfId="48" priority="33" operator="between">
      <formula>2.5</formula>
      <formula>3.49</formula>
    </cfRule>
    <cfRule type="cellIs" dxfId="47" priority="32" operator="between">
      <formula>3.5</formula>
      <formula>4.49</formula>
    </cfRule>
    <cfRule type="cellIs" dxfId="46" priority="31" operator="between">
      <formula>4.5</formula>
      <formula>5</formula>
    </cfRule>
    <cfRule type="cellIs" dxfId="45" priority="35" operator="lessThanOrEqual">
      <formula>1.5</formula>
    </cfRule>
  </conditionalFormatting>
  <conditionalFormatting sqref="BC43">
    <cfRule type="cellIs" dxfId="44" priority="39" operator="between">
      <formula>1.5</formula>
      <formula>2.49</formula>
    </cfRule>
    <cfRule type="cellIs" dxfId="43" priority="38" operator="between">
      <formula>2.5</formula>
      <formula>3.49</formula>
    </cfRule>
    <cfRule type="cellIs" dxfId="42" priority="37" operator="between">
      <formula>3.5</formula>
      <formula>4.49</formula>
    </cfRule>
    <cfRule type="cellIs" dxfId="41" priority="36" operator="between">
      <formula>4.5</formula>
      <formula>5</formula>
    </cfRule>
    <cfRule type="cellIs" dxfId="40" priority="40" operator="lessThanOrEqual">
      <formula>1.5</formula>
    </cfRule>
  </conditionalFormatting>
  <conditionalFormatting sqref="BC45">
    <cfRule type="cellIs" dxfId="39" priority="43" operator="between">
      <formula>2.5</formula>
      <formula>3.49</formula>
    </cfRule>
    <cfRule type="cellIs" dxfId="38" priority="41" operator="between">
      <formula>4.5</formula>
      <formula>5</formula>
    </cfRule>
    <cfRule type="cellIs" dxfId="37" priority="42" operator="between">
      <formula>3.5</formula>
      <formula>4.49</formula>
    </cfRule>
    <cfRule type="cellIs" dxfId="36" priority="44" operator="between">
      <formula>1.5</formula>
      <formula>2.49</formula>
    </cfRule>
    <cfRule type="cellIs" dxfId="35" priority="45" operator="lessThanOrEqual">
      <formula>1.5</formula>
    </cfRule>
  </conditionalFormatting>
  <conditionalFormatting sqref="BC47">
    <cfRule type="cellIs" dxfId="34" priority="46" operator="between">
      <formula>4.5</formula>
      <formula>5</formula>
    </cfRule>
    <cfRule type="cellIs" dxfId="33" priority="48" operator="between">
      <formula>2.5</formula>
      <formula>3.49</formula>
    </cfRule>
    <cfRule type="cellIs" dxfId="32" priority="49" operator="between">
      <formula>1.5</formula>
      <formula>2.49</formula>
    </cfRule>
    <cfRule type="cellIs" dxfId="31" priority="50" operator="lessThanOrEqual">
      <formula>1.5</formula>
    </cfRule>
    <cfRule type="cellIs" dxfId="30" priority="47" operator="between">
      <formula>3.5</formula>
      <formula>4.49</formula>
    </cfRule>
  </conditionalFormatting>
  <conditionalFormatting sqref="BC49">
    <cfRule type="cellIs" dxfId="29" priority="51" operator="between">
      <formula>4.5</formula>
      <formula>5</formula>
    </cfRule>
    <cfRule type="cellIs" dxfId="28" priority="52" operator="between">
      <formula>3.5</formula>
      <formula>4.49</formula>
    </cfRule>
    <cfRule type="cellIs" dxfId="27" priority="53" operator="between">
      <formula>2.5</formula>
      <formula>3.49</formula>
    </cfRule>
    <cfRule type="cellIs" dxfId="26" priority="54" operator="between">
      <formula>1.5</formula>
      <formula>2.49</formula>
    </cfRule>
    <cfRule type="cellIs" dxfId="25" priority="55" operator="lessThanOrEqual">
      <formula>1.5</formula>
    </cfRule>
  </conditionalFormatting>
  <conditionalFormatting sqref="BC51">
    <cfRule type="cellIs" dxfId="24" priority="56" operator="between">
      <formula>4.5</formula>
      <formula>5</formula>
    </cfRule>
    <cfRule type="cellIs" dxfId="23" priority="57" operator="between">
      <formula>3.5</formula>
      <formula>4.49</formula>
    </cfRule>
    <cfRule type="cellIs" dxfId="22" priority="58" operator="between">
      <formula>2.5</formula>
      <formula>3.49</formula>
    </cfRule>
    <cfRule type="cellIs" dxfId="21" priority="59" operator="between">
      <formula>1.5</formula>
      <formula>2.49</formula>
    </cfRule>
    <cfRule type="cellIs" dxfId="20" priority="60" operator="lessThanOrEqual">
      <formula>1.5</formula>
    </cfRule>
  </conditionalFormatting>
  <conditionalFormatting sqref="BC53">
    <cfRule type="cellIs" dxfId="19" priority="64" operator="between">
      <formula>1.5</formula>
      <formula>2.49</formula>
    </cfRule>
    <cfRule type="cellIs" dxfId="18" priority="63" operator="between">
      <formula>2.5</formula>
      <formula>3.49</formula>
    </cfRule>
    <cfRule type="cellIs" dxfId="17" priority="62" operator="between">
      <formula>3.5</formula>
      <formula>4.49</formula>
    </cfRule>
    <cfRule type="cellIs" dxfId="16" priority="61" operator="between">
      <formula>4.5</formula>
      <formula>5</formula>
    </cfRule>
    <cfRule type="cellIs" dxfId="15" priority="65" operator="lessThanOrEqual">
      <formula>1.5</formula>
    </cfRule>
  </conditionalFormatting>
  <conditionalFormatting sqref="BC55">
    <cfRule type="cellIs" dxfId="14" priority="67" operator="between">
      <formula>3.5</formula>
      <formula>4.49</formula>
    </cfRule>
    <cfRule type="cellIs" dxfId="13" priority="68" operator="between">
      <formula>2.5</formula>
      <formula>3.49</formula>
    </cfRule>
    <cfRule type="cellIs" dxfId="12" priority="69" operator="between">
      <formula>1.5</formula>
      <formula>2.49</formula>
    </cfRule>
    <cfRule type="cellIs" dxfId="11" priority="70" operator="lessThanOrEqual">
      <formula>1.5</formula>
    </cfRule>
    <cfRule type="cellIs" dxfId="10" priority="66" operator="between">
      <formula>4.5</formula>
      <formula>5</formula>
    </cfRule>
  </conditionalFormatting>
  <conditionalFormatting sqref="BC57">
    <cfRule type="cellIs" dxfId="9" priority="76" operator="between">
      <formula>4.5</formula>
      <formula>5</formula>
    </cfRule>
    <cfRule type="cellIs" dxfId="8" priority="80" operator="lessThanOrEqual">
      <formula>1.5</formula>
    </cfRule>
    <cfRule type="cellIs" dxfId="7" priority="79" operator="between">
      <formula>1.5</formula>
      <formula>2.49</formula>
    </cfRule>
    <cfRule type="cellIs" dxfId="6" priority="78" operator="between">
      <formula>2.5</formula>
      <formula>3.49</formula>
    </cfRule>
    <cfRule type="cellIs" dxfId="5" priority="77" operator="between">
      <formula>3.5</formula>
      <formula>4.49</formula>
    </cfRule>
  </conditionalFormatting>
  <conditionalFormatting sqref="BC59:BC75">
    <cfRule type="cellIs" dxfId="4" priority="2" operator="between">
      <formula>3.5</formula>
      <formula>4.49</formula>
    </cfRule>
    <cfRule type="cellIs" dxfId="3" priority="3" operator="between">
      <formula>2.5</formula>
      <formula>3.49</formula>
    </cfRule>
    <cfRule type="cellIs" dxfId="2" priority="4" operator="between">
      <formula>1.5</formula>
      <formula>2.49</formula>
    </cfRule>
    <cfRule type="cellIs" dxfId="1" priority="5" operator="lessThanOrEqual">
      <formula>1.5</formula>
    </cfRule>
    <cfRule type="cellIs" dxfId="0" priority="1" operator="between">
      <formula>4.5</formula>
      <formula>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84BDD15D-F5CB-415E-AAF6-21CA73F40D7F}">
          <x14:formula1>
            <xm:f>'OSM - Rating and Score'!$C$8:$C$13</xm:f>
          </x14:formula1>
          <xm:sqref>I8 AE8 AW8 K8 AK8 AG8 I10 AE10 AW10 K10 AK10 AG10 I12 AE12 AW12 K12 AK12 AG12 I14 AE14 AW14 K14 AK14 AG14 I16 AE16 AW16 K16 AK16 AG16 I18 AE18 AW18 K18 AK18 AG18 I20 AE20 AW20 K20 AK20 AG20 I23 AE23 AW23 K23 AK23 AG23 I25 AE25 AW25 K25 AK25 AG25 I27 AE27 AW27 K27 AK27 AG27 I29 AE29 AW29 K29 AK29 AG29 I31 AE31 AW31 K31 AK31 AG31 I57 AE57 AW57 K57 AK57 AG57 I33 AE33 AW33 K33 AK33 AG33 I55 AE55 AW55 K55 AK55 AG55 I53 AE53 AW53 K53 AK53 AG53 I51 AE51 AW51 K51 AK51 AG51 I49 AE49 AW49 K49 AK49 AG49 I47 AE47 AW47 K47 AK47 AG47 I45 AE45 AW45 K45 AK45 AG45 I43 AE43 AW43 K43 AK43 AG43 I41 AE41 AW41 K41 AK41 AG41 I39 AE39 AW39 K39 AK39 AG39 I37 AE37 AW37 K37 AK37 AG37 I35 AE35 AW35 K35 AK35 AG35 I59:I75 AE59:AE75 AW59:AW75 K59:K75 AK59:AK75 AG59:AG75</xm:sqref>
        </x14:dataValidation>
        <x14:dataValidation type="list" allowBlank="1" showInputMessage="1" showErrorMessage="1" xr:uid="{AC5F15F0-FF32-4122-A588-A124CA380CB3}">
          <x14:formula1>
            <xm:f>'OSM - Rating and Score'!$C$17:$C$22</xm:f>
          </x14:formula1>
          <xm:sqref>O8 O10 O12 O14 O16 O18 O20 O23 O25 O27 O29 O31 O57 O33 O55 O53 O51 O49 O47 O45 O43 O41 O39 O37 O35 O59:O75</xm:sqref>
        </x14:dataValidation>
        <x14:dataValidation type="list" allowBlank="1" showInputMessage="1" showErrorMessage="1" xr:uid="{1AF4E303-D0AA-467C-B692-D168F1349556}">
          <x14:formula1>
            <xm:f>'OSM - Rating and Score'!$C$56:$C$61</xm:f>
          </x14:formula1>
          <xm:sqref>Q8 Q10 Q12 Q14 Q16 Q18 Q20 Q23 Q25 Q27 Q29 Q31 Q57 Q33 Q55 Q53 Q51 Q49 Q47 Q45 Q43 Q41 Q39 Q37 Q35 Q59:Q75</xm:sqref>
        </x14:dataValidation>
        <x14:dataValidation type="list" allowBlank="1" showInputMessage="1" showErrorMessage="1" xr:uid="{196F34D6-9836-4F25-8469-F24E21727DE2}">
          <x14:formula1>
            <xm:f>WS!$F$4:$F$14</xm:f>
          </x14:formula1>
          <xm:sqref>E8 E10</xm:sqref>
        </x14:dataValidation>
        <x14:dataValidation type="list" allowBlank="1" showInputMessage="1" showErrorMessage="1" xr:uid="{CDA35164-ADD2-48F3-BC62-E537D26F7DA5}">
          <x14:formula1>
            <xm:f>'OSM - Rating and Score'!$C$35:$C$40</xm:f>
          </x14:formula1>
          <xm:sqref>U8 U10 U12 U14 U16 U18 U20 U23 U25 U27 U29 U31 U57 U33 U55 U53 U51 U49 U47 U45 U43 U41 U39 U37 U35 U59:U75</xm:sqref>
        </x14:dataValidation>
        <x14:dataValidation type="list" allowBlank="1" showInputMessage="1" showErrorMessage="1" xr:uid="{324F40B0-4C76-4F60-9B7A-C9377A1F7F63}">
          <x14:formula1>
            <xm:f>'OSM - Rating and Score'!$C$26:$C$31</xm:f>
          </x14:formula1>
          <xm:sqref>S8 S10 S12 S14 S16 S18 S20 S23 S25 S27 S29 S31 S57 S33 S55 S53 S51 S49 S47 S45 S43 S41 S39 S37 S35 S59:S75</xm:sqref>
        </x14:dataValidation>
        <x14:dataValidation type="list" allowBlank="1" showInputMessage="1" showErrorMessage="1" xr:uid="{4AA4CC06-4CD6-4808-A9B2-1EDC765BC01C}">
          <x14:formula1>
            <xm:f>'OSM - Rating and Score'!$C$47:$C$52</xm:f>
          </x14:formula1>
          <xm:sqref>AM8 AO8 AQ8 AS8 AM10 AO10 AQ10 AS10 AM12 AO12 AQ12 AS12 AM14 AO14 AQ14 AS14 AM16 AO16 AQ16 AS16 AM18 AO18 AQ18 AS18 AM20 AO20 AQ20 AS20 AM23 AO23 AQ23 AS23 AM25 AO25 AQ25 AS25 AM27 AO27 AQ27 AS27 AM29 AO29 AQ29 AS29 AM31 AO31 AQ31 AS31 AM57 AO57 AQ57 AS57 AM33 AO33 AQ33 AS33 AM55 AO55 AQ55 AS55 AM53 AO53 AQ53 AS53 AM51 AO51 AQ51 AS51 AM49 AO49 AQ49 AS49 AM47 AO47 AQ47 AS47 AM45 AO45 AQ45 AS45 AM43 AO43 AQ43 AS43 AM41 AO41 AQ41 AS41 AM39 AO39 AQ39 AS39 AM37 AO37 AQ37 AS37 AM35 AO35 AQ35 AS35 AM59:AM75 AO59:AO75 AQ59:AQ75 AS59:AS75</xm:sqref>
        </x14:dataValidation>
        <x14:dataValidation type="list" allowBlank="1" showInputMessage="1" showErrorMessage="1" xr:uid="{A5AD3278-F050-4E41-A077-43F73DB71E09}">
          <x14:formula1>
            <xm:f>'OSM - Rating and Score'!$C$65:$C$70</xm:f>
          </x14:formula1>
          <xm:sqref>AU8 AU10 AU12 AU14 AU16 AU18 AU20 AU23 AU25 AU27 AU29 AU31 AU57 AU33 AU55 AU53 AU51 AU49 AU47 AU45 AU43 AU41 AU39 AU37 AU35 AU59:AU75</xm:sqref>
        </x14:dataValidation>
        <x14:dataValidation type="list" allowBlank="1" showInputMessage="1" showErrorMessage="1" xr:uid="{4F2B333A-8987-4EDC-8647-63677A282AAA}">
          <x14:formula1>
            <xm:f>'OSM - Rating and Score'!$C$75:$C$80</xm:f>
          </x14:formula1>
          <xm:sqref>AY8 AY10 AY12 AY14 AY16 AY18 AY20 AY23 AY25 AY27 AY29 AY31 AY57 AY33 AY55 AY53 AY51 AY49 AY47 AY45 AY43 AY41 AY39 AY37 AY35 AY59:AY75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EA20-7ABE-40AD-9370-E1B71A5F3795}">
  <dimension ref="B2:K27"/>
  <sheetViews>
    <sheetView zoomScale="145" zoomScaleNormal="145" workbookViewId="0">
      <pane xSplit="3" ySplit="1" topLeftCell="D10" activePane="bottomRight" state="frozen"/>
      <selection pane="topRight" activeCell="F1" sqref="F1"/>
      <selection pane="bottomLeft" activeCell="A4" sqref="A4"/>
      <selection pane="bottomRight" activeCell="E28" sqref="E28"/>
    </sheetView>
  </sheetViews>
  <sheetFormatPr defaultRowHeight="14.25" x14ac:dyDescent="0.45"/>
  <cols>
    <col min="2" max="2" width="9.06640625" style="7"/>
    <col min="3" max="3" width="35" bestFit="1" customWidth="1"/>
    <col min="4" max="4" width="9.06640625" style="7"/>
    <col min="5" max="5" width="9.06640625" style="45"/>
    <col min="6" max="6" width="14.19921875" bestFit="1" customWidth="1"/>
  </cols>
  <sheetData>
    <row r="2" spans="2:11" x14ac:dyDescent="0.45">
      <c r="E2" s="45">
        <f>SUM(E4:E26)</f>
        <v>1.0000000000000004</v>
      </c>
    </row>
    <row r="3" spans="2:11" ht="42.75" x14ac:dyDescent="0.45">
      <c r="B3" s="52" t="s">
        <v>286</v>
      </c>
      <c r="C3" s="52" t="s">
        <v>283</v>
      </c>
      <c r="D3" s="53" t="s">
        <v>285</v>
      </c>
      <c r="E3" s="54" t="s">
        <v>284</v>
      </c>
    </row>
    <row r="4" spans="2:11" x14ac:dyDescent="0.45">
      <c r="B4" s="48"/>
      <c r="C4" s="61" t="s">
        <v>325</v>
      </c>
      <c r="D4" s="48"/>
      <c r="E4" s="55"/>
      <c r="J4">
        <v>290</v>
      </c>
      <c r="K4">
        <v>2025</v>
      </c>
    </row>
    <row r="5" spans="2:11" x14ac:dyDescent="0.45">
      <c r="B5" s="48">
        <v>1</v>
      </c>
      <c r="C5" s="51" t="s">
        <v>68</v>
      </c>
      <c r="D5" s="64" t="s">
        <v>290</v>
      </c>
      <c r="E5" s="65">
        <v>0</v>
      </c>
      <c r="J5">
        <v>380</v>
      </c>
      <c r="K5">
        <f>K4+1</f>
        <v>2026</v>
      </c>
    </row>
    <row r="6" spans="2:11" x14ac:dyDescent="0.45">
      <c r="B6" s="48">
        <f>B5+1</f>
        <v>2</v>
      </c>
      <c r="C6" s="51" t="s">
        <v>332</v>
      </c>
      <c r="D6" s="48" t="s">
        <v>291</v>
      </c>
      <c r="E6" s="55">
        <v>0.05</v>
      </c>
      <c r="J6">
        <v>500</v>
      </c>
      <c r="K6">
        <f>K5+1</f>
        <v>2027</v>
      </c>
    </row>
    <row r="7" spans="2:11" x14ac:dyDescent="0.45">
      <c r="B7" s="48">
        <f t="shared" ref="B7:B26" si="0">B6+1</f>
        <v>3</v>
      </c>
      <c r="C7" s="51" t="s">
        <v>77</v>
      </c>
      <c r="D7" s="48" t="s">
        <v>291</v>
      </c>
      <c r="E7" s="55">
        <v>0.05</v>
      </c>
      <c r="J7">
        <v>620</v>
      </c>
      <c r="K7">
        <f>K6+1</f>
        <v>2028</v>
      </c>
    </row>
    <row r="8" spans="2:11" x14ac:dyDescent="0.45">
      <c r="B8" s="48">
        <f t="shared" si="0"/>
        <v>4</v>
      </c>
      <c r="C8" s="51" t="s">
        <v>334</v>
      </c>
      <c r="D8" s="48" t="s">
        <v>291</v>
      </c>
      <c r="E8" s="55">
        <v>7.0000000000000007E-2</v>
      </c>
      <c r="J8">
        <v>750</v>
      </c>
      <c r="K8">
        <f>K7+1</f>
        <v>2029</v>
      </c>
    </row>
    <row r="9" spans="2:11" x14ac:dyDescent="0.45">
      <c r="B9" s="48">
        <f t="shared" si="0"/>
        <v>5</v>
      </c>
      <c r="C9" s="51" t="s">
        <v>333</v>
      </c>
      <c r="D9" s="48" t="s">
        <v>291</v>
      </c>
      <c r="E9" s="55">
        <v>0.05</v>
      </c>
      <c r="J9">
        <v>880</v>
      </c>
      <c r="K9">
        <f>K8+1</f>
        <v>2030</v>
      </c>
    </row>
    <row r="10" spans="2:11" x14ac:dyDescent="0.45">
      <c r="B10" s="48">
        <f t="shared" si="0"/>
        <v>6</v>
      </c>
      <c r="C10" s="51" t="s">
        <v>335</v>
      </c>
      <c r="D10" s="48" t="s">
        <v>291</v>
      </c>
      <c r="E10" s="55">
        <v>7.0000000000000007E-2</v>
      </c>
    </row>
    <row r="11" spans="2:11" x14ac:dyDescent="0.45">
      <c r="B11" s="48"/>
      <c r="C11" s="61" t="s">
        <v>282</v>
      </c>
      <c r="D11" s="48"/>
      <c r="E11" s="55"/>
    </row>
    <row r="12" spans="2:11" x14ac:dyDescent="0.45">
      <c r="B12" s="48">
        <f>B10</f>
        <v>6</v>
      </c>
      <c r="C12" s="51" t="s">
        <v>304</v>
      </c>
      <c r="D12" s="48" t="s">
        <v>290</v>
      </c>
      <c r="E12" s="55">
        <v>0</v>
      </c>
    </row>
    <row r="13" spans="2:11" x14ac:dyDescent="0.45">
      <c r="B13" s="48">
        <f t="shared" si="0"/>
        <v>7</v>
      </c>
      <c r="C13" s="62" t="s">
        <v>337</v>
      </c>
      <c r="D13" s="48" t="s">
        <v>291</v>
      </c>
      <c r="E13" s="55">
        <v>0.1</v>
      </c>
    </row>
    <row r="14" spans="2:11" x14ac:dyDescent="0.45">
      <c r="B14" s="48">
        <f t="shared" si="0"/>
        <v>8</v>
      </c>
      <c r="C14" s="62" t="s">
        <v>338</v>
      </c>
      <c r="D14" s="48" t="s">
        <v>291</v>
      </c>
      <c r="E14" s="55">
        <v>0.08</v>
      </c>
    </row>
    <row r="15" spans="2:11" x14ac:dyDescent="0.45">
      <c r="B15" s="48">
        <f t="shared" si="0"/>
        <v>9</v>
      </c>
      <c r="C15" s="51" t="s">
        <v>71</v>
      </c>
      <c r="D15" s="48" t="s">
        <v>291</v>
      </c>
      <c r="E15" s="55">
        <v>0.1</v>
      </c>
    </row>
    <row r="16" spans="2:11" x14ac:dyDescent="0.45">
      <c r="B16" s="48">
        <f t="shared" si="0"/>
        <v>10</v>
      </c>
      <c r="C16" s="51" t="s">
        <v>318</v>
      </c>
      <c r="D16" s="48" t="s">
        <v>291</v>
      </c>
      <c r="E16" s="55">
        <v>0.04</v>
      </c>
    </row>
    <row r="17" spans="2:5" x14ac:dyDescent="0.45">
      <c r="B17" s="48">
        <f t="shared" si="0"/>
        <v>11</v>
      </c>
      <c r="C17" s="51" t="s">
        <v>74</v>
      </c>
      <c r="D17" s="64" t="s">
        <v>290</v>
      </c>
      <c r="E17" s="65">
        <v>0</v>
      </c>
    </row>
    <row r="18" spans="2:5" x14ac:dyDescent="0.45">
      <c r="B18" s="48"/>
      <c r="C18" s="61" t="s">
        <v>80</v>
      </c>
      <c r="D18" s="48"/>
      <c r="E18" s="55"/>
    </row>
    <row r="19" spans="2:5" x14ac:dyDescent="0.45">
      <c r="B19" s="48">
        <f>B17+1</f>
        <v>12</v>
      </c>
      <c r="C19" s="51" t="s">
        <v>72</v>
      </c>
      <c r="D19" s="48" t="s">
        <v>291</v>
      </c>
      <c r="E19" s="55">
        <v>7.0000000000000007E-2</v>
      </c>
    </row>
    <row r="20" spans="2:5" x14ac:dyDescent="0.45">
      <c r="B20" s="48">
        <f t="shared" si="0"/>
        <v>13</v>
      </c>
      <c r="C20" s="51" t="s">
        <v>82</v>
      </c>
      <c r="D20" s="48" t="s">
        <v>291</v>
      </c>
      <c r="E20" s="55">
        <v>0.05</v>
      </c>
    </row>
    <row r="21" spans="2:5" x14ac:dyDescent="0.45">
      <c r="B21" s="48">
        <f t="shared" si="0"/>
        <v>14</v>
      </c>
      <c r="C21" s="51" t="s">
        <v>139</v>
      </c>
      <c r="D21" s="48" t="s">
        <v>291</v>
      </c>
      <c r="E21" s="55">
        <v>0.05</v>
      </c>
    </row>
    <row r="22" spans="2:5" x14ac:dyDescent="0.45">
      <c r="B22" s="48">
        <f t="shared" si="0"/>
        <v>15</v>
      </c>
      <c r="C22" s="51" t="s">
        <v>181</v>
      </c>
      <c r="D22" s="48" t="s">
        <v>291</v>
      </c>
      <c r="E22" s="55">
        <v>0.05</v>
      </c>
    </row>
    <row r="23" spans="2:5" x14ac:dyDescent="0.45">
      <c r="B23" s="48">
        <f t="shared" si="0"/>
        <v>16</v>
      </c>
      <c r="C23" s="51" t="s">
        <v>339</v>
      </c>
      <c r="D23" s="48" t="s">
        <v>291</v>
      </c>
      <c r="E23" s="55">
        <v>7.0000000000000007E-2</v>
      </c>
    </row>
    <row r="24" spans="2:5" x14ac:dyDescent="0.45">
      <c r="B24" s="48">
        <f t="shared" si="0"/>
        <v>17</v>
      </c>
      <c r="C24" s="51" t="s">
        <v>179</v>
      </c>
      <c r="D24" s="48" t="s">
        <v>291</v>
      </c>
      <c r="E24" s="55">
        <v>0.05</v>
      </c>
    </row>
    <row r="25" spans="2:5" x14ac:dyDescent="0.45">
      <c r="B25" s="48">
        <f t="shared" si="0"/>
        <v>18</v>
      </c>
      <c r="C25" s="61" t="s">
        <v>166</v>
      </c>
      <c r="D25" s="64" t="s">
        <v>290</v>
      </c>
      <c r="E25" s="65">
        <v>0</v>
      </c>
    </row>
    <row r="26" spans="2:5" x14ac:dyDescent="0.45">
      <c r="B26" s="48">
        <f t="shared" si="0"/>
        <v>19</v>
      </c>
      <c r="C26" s="61" t="s">
        <v>336</v>
      </c>
      <c r="D26" s="48" t="s">
        <v>291</v>
      </c>
      <c r="E26" s="55">
        <v>0.05</v>
      </c>
    </row>
    <row r="27" spans="2:5" x14ac:dyDescent="0.45">
      <c r="C27"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62F94-B447-43D2-8F94-9E21C176E7BD}">
  <dimension ref="B2:S118"/>
  <sheetViews>
    <sheetView showGridLines="0" topLeftCell="A57" zoomScale="142" zoomScaleNormal="90" workbookViewId="0">
      <selection activeCell="E61" sqref="E61"/>
    </sheetView>
  </sheetViews>
  <sheetFormatPr defaultRowHeight="14.25" x14ac:dyDescent="0.45"/>
  <cols>
    <col min="2" max="2" width="1.46484375" customWidth="1"/>
    <col min="3" max="3" width="25.796875" bestFit="1" customWidth="1"/>
    <col min="4" max="4" width="11.796875" style="7" customWidth="1"/>
    <col min="5" max="5" width="41.19921875" customWidth="1"/>
    <col min="6" max="6" width="1.9296875" customWidth="1"/>
    <col min="7" max="7" width="41.19921875" customWidth="1"/>
    <col min="8" max="8" width="1.9296875" customWidth="1"/>
    <col min="9" max="9" width="41.796875" customWidth="1"/>
    <col min="10" max="10" width="2.33203125" customWidth="1"/>
    <col min="11" max="11" width="41.796875" customWidth="1"/>
    <col min="12" max="12" width="2.33203125" customWidth="1"/>
    <col min="13" max="13" width="59.06640625" customWidth="1"/>
    <col min="14" max="14" width="1.796875" customWidth="1"/>
    <col min="15" max="15" width="59.06640625" customWidth="1"/>
    <col min="17" max="17" width="44.19921875" bestFit="1" customWidth="1"/>
    <col min="18" max="18" width="58.19921875" customWidth="1"/>
  </cols>
  <sheetData>
    <row r="2" spans="2:15" ht="21" x14ac:dyDescent="0.65">
      <c r="B2" s="23" t="str">
        <f>M7</f>
        <v>Tender Feasibility (NUPCO likelihood)</v>
      </c>
    </row>
    <row r="3" spans="2:15" ht="21" x14ac:dyDescent="0.65">
      <c r="B3" s="23" t="str">
        <f>K7</f>
        <v>Awareness &amp; Capability</v>
      </c>
    </row>
    <row r="4" spans="2:15" ht="21" x14ac:dyDescent="0.65">
      <c r="B4" s="23" t="str">
        <f>I7</f>
        <v>Localization Opportunities</v>
      </c>
    </row>
    <row r="5" spans="2:15" ht="21" x14ac:dyDescent="0.65">
      <c r="B5" s="23" t="str">
        <f>G7</f>
        <v>Gross Margin Potential</v>
      </c>
    </row>
    <row r="6" spans="2:15" ht="21" x14ac:dyDescent="0.65">
      <c r="B6" s="23" t="str">
        <f>E7</f>
        <v>Opportunity</v>
      </c>
    </row>
    <row r="7" spans="2:15" s="22" customFormat="1" ht="36.5" customHeight="1" x14ac:dyDescent="0.45">
      <c r="B7" s="24"/>
      <c r="C7" s="21" t="s">
        <v>90</v>
      </c>
      <c r="D7" s="21" t="s">
        <v>89</v>
      </c>
      <c r="E7" s="21" t="s">
        <v>68</v>
      </c>
      <c r="G7" s="21" t="s">
        <v>71</v>
      </c>
      <c r="I7" s="21" t="s">
        <v>166</v>
      </c>
      <c r="J7"/>
      <c r="K7" s="21" t="s">
        <v>332</v>
      </c>
      <c r="L7"/>
      <c r="M7" s="21" t="s">
        <v>72</v>
      </c>
      <c r="N7"/>
      <c r="O7" s="59" t="s">
        <v>318</v>
      </c>
    </row>
    <row r="8" spans="2:15" ht="40.049999999999997" customHeight="1" x14ac:dyDescent="0.65">
      <c r="B8" s="23"/>
      <c r="C8" s="19" t="s">
        <v>87</v>
      </c>
      <c r="D8" s="5">
        <v>5</v>
      </c>
      <c r="E8" s="20" t="s">
        <v>91</v>
      </c>
      <c r="G8" s="20" t="s">
        <v>133</v>
      </c>
      <c r="I8" s="20" t="s">
        <v>167</v>
      </c>
      <c r="K8" s="20" t="s">
        <v>98</v>
      </c>
      <c r="M8" s="20" t="s">
        <v>174</v>
      </c>
      <c r="O8" s="20" t="s">
        <v>319</v>
      </c>
    </row>
    <row r="9" spans="2:15" ht="40.049999999999997" customHeight="1" x14ac:dyDescent="0.65">
      <c r="B9" s="23"/>
      <c r="C9" s="19" t="s">
        <v>83</v>
      </c>
      <c r="D9" s="5">
        <v>4</v>
      </c>
      <c r="E9" s="20" t="s">
        <v>92</v>
      </c>
      <c r="G9" s="20" t="s">
        <v>134</v>
      </c>
      <c r="I9" s="20" t="s">
        <v>168</v>
      </c>
      <c r="K9" s="20" t="s">
        <v>100</v>
      </c>
      <c r="M9" s="20" t="s">
        <v>175</v>
      </c>
      <c r="O9" s="20" t="s">
        <v>320</v>
      </c>
    </row>
    <row r="10" spans="2:15" ht="40.049999999999997" customHeight="1" x14ac:dyDescent="0.65">
      <c r="B10" s="23"/>
      <c r="C10" s="19" t="s">
        <v>84</v>
      </c>
      <c r="D10" s="5">
        <v>3</v>
      </c>
      <c r="E10" s="20" t="s">
        <v>93</v>
      </c>
      <c r="G10" s="20" t="s">
        <v>135</v>
      </c>
      <c r="I10" s="20" t="s">
        <v>169</v>
      </c>
      <c r="K10" s="20" t="s">
        <v>102</v>
      </c>
      <c r="M10" s="20" t="s">
        <v>176</v>
      </c>
      <c r="O10" s="20" t="s">
        <v>321</v>
      </c>
    </row>
    <row r="11" spans="2:15" ht="40.049999999999997" customHeight="1" x14ac:dyDescent="0.65">
      <c r="B11" s="23"/>
      <c r="C11" s="19" t="s">
        <v>85</v>
      </c>
      <c r="D11" s="5">
        <v>2</v>
      </c>
      <c r="E11" s="20" t="s">
        <v>94</v>
      </c>
      <c r="G11" s="20" t="s">
        <v>136</v>
      </c>
      <c r="I11" s="20" t="s">
        <v>170</v>
      </c>
      <c r="K11" s="20" t="s">
        <v>104</v>
      </c>
      <c r="M11" s="20" t="s">
        <v>177</v>
      </c>
      <c r="O11" s="20" t="s">
        <v>322</v>
      </c>
    </row>
    <row r="12" spans="2:15" ht="40.049999999999997" customHeight="1" x14ac:dyDescent="0.65">
      <c r="B12" s="23"/>
      <c r="C12" s="19" t="s">
        <v>86</v>
      </c>
      <c r="D12" s="5">
        <v>1</v>
      </c>
      <c r="E12" s="20" t="s">
        <v>95</v>
      </c>
      <c r="G12" s="20" t="s">
        <v>137</v>
      </c>
      <c r="I12" s="20" t="s">
        <v>171</v>
      </c>
      <c r="K12" s="20" t="s">
        <v>106</v>
      </c>
      <c r="M12" s="20" t="s">
        <v>178</v>
      </c>
      <c r="O12" s="20" t="s">
        <v>323</v>
      </c>
    </row>
    <row r="13" spans="2:15" ht="40.049999999999997" customHeight="1" x14ac:dyDescent="0.65">
      <c r="B13" s="23"/>
      <c r="C13" s="19" t="s">
        <v>88</v>
      </c>
      <c r="D13" s="5">
        <v>0</v>
      </c>
      <c r="E13" s="20" t="s">
        <v>96</v>
      </c>
      <c r="G13" s="20" t="s">
        <v>138</v>
      </c>
      <c r="I13" s="20" t="s">
        <v>172</v>
      </c>
      <c r="K13" s="20" t="s">
        <v>107</v>
      </c>
      <c r="M13" s="20" t="s">
        <v>157</v>
      </c>
      <c r="O13" s="20" t="s">
        <v>324</v>
      </c>
    </row>
    <row r="14" spans="2:15" ht="21" x14ac:dyDescent="0.65">
      <c r="B14" s="23"/>
    </row>
    <row r="15" spans="2:15" ht="21" x14ac:dyDescent="0.65">
      <c r="B15" s="23" t="str">
        <f>E16</f>
        <v>Entry Barriers</v>
      </c>
    </row>
    <row r="16" spans="2:15" s="22" customFormat="1" ht="36.5" customHeight="1" x14ac:dyDescent="0.45">
      <c r="B16" s="24"/>
      <c r="C16" s="21" t="s">
        <v>90</v>
      </c>
      <c r="D16" s="21" t="s">
        <v>89</v>
      </c>
      <c r="E16" s="21" t="s">
        <v>77</v>
      </c>
      <c r="F16"/>
      <c r="G16"/>
      <c r="H16"/>
      <c r="I16"/>
      <c r="J16"/>
      <c r="K16"/>
      <c r="O16"/>
    </row>
    <row r="17" spans="2:15" ht="40.049999999999997" customHeight="1" x14ac:dyDescent="0.65">
      <c r="B17" s="23"/>
      <c r="C17" s="19" t="s">
        <v>108</v>
      </c>
      <c r="D17" s="5">
        <v>5</v>
      </c>
      <c r="E17" s="20" t="s">
        <v>109</v>
      </c>
    </row>
    <row r="18" spans="2:15" ht="40.049999999999997" customHeight="1" x14ac:dyDescent="0.65">
      <c r="B18" s="23"/>
      <c r="C18" s="19" t="s">
        <v>110</v>
      </c>
      <c r="D18" s="5">
        <v>4</v>
      </c>
      <c r="E18" s="20" t="s">
        <v>111</v>
      </c>
    </row>
    <row r="19" spans="2:15" ht="40.049999999999997" customHeight="1" x14ac:dyDescent="0.65">
      <c r="B19" s="23"/>
      <c r="C19" s="19" t="s">
        <v>112</v>
      </c>
      <c r="D19" s="5">
        <v>3</v>
      </c>
      <c r="E19" s="20" t="s">
        <v>113</v>
      </c>
    </row>
    <row r="20" spans="2:15" ht="40.049999999999997" customHeight="1" x14ac:dyDescent="0.65">
      <c r="B20" s="23"/>
      <c r="C20" s="19" t="s">
        <v>114</v>
      </c>
      <c r="D20" s="5">
        <v>2</v>
      </c>
      <c r="E20" s="20" t="s">
        <v>115</v>
      </c>
    </row>
    <row r="21" spans="2:15" ht="40.049999999999997" customHeight="1" x14ac:dyDescent="0.65">
      <c r="B21" s="23"/>
      <c r="C21" s="19" t="s">
        <v>116</v>
      </c>
      <c r="D21" s="5">
        <v>1</v>
      </c>
      <c r="E21" s="20" t="s">
        <v>117</v>
      </c>
    </row>
    <row r="22" spans="2:15" ht="40.049999999999997" customHeight="1" x14ac:dyDescent="0.65">
      <c r="B22" s="23"/>
      <c r="C22" s="19" t="s">
        <v>88</v>
      </c>
      <c r="D22" s="5">
        <v>0</v>
      </c>
      <c r="E22" s="20" t="s">
        <v>118</v>
      </c>
    </row>
    <row r="23" spans="2:15" ht="21" x14ac:dyDescent="0.65">
      <c r="B23" s="23"/>
    </row>
    <row r="24" spans="2:15" ht="21" x14ac:dyDescent="0.65">
      <c r="B24" s="23" t="str">
        <f>E25</f>
        <v>Commercial Readiness</v>
      </c>
    </row>
    <row r="25" spans="2:15" s="22" customFormat="1" ht="36.5" customHeight="1" x14ac:dyDescent="0.45">
      <c r="B25" s="24"/>
      <c r="C25" s="21" t="s">
        <v>90</v>
      </c>
      <c r="D25" s="21" t="s">
        <v>89</v>
      </c>
      <c r="E25" s="21" t="s">
        <v>333</v>
      </c>
      <c r="G25" s="56"/>
      <c r="H25" s="56"/>
      <c r="I25" s="56"/>
      <c r="O25"/>
    </row>
    <row r="26" spans="2:15" ht="40.049999999999997" customHeight="1" x14ac:dyDescent="0.65">
      <c r="B26" s="23"/>
      <c r="C26" s="19" t="s">
        <v>121</v>
      </c>
      <c r="D26" s="5">
        <v>5</v>
      </c>
      <c r="E26" s="20" t="s">
        <v>120</v>
      </c>
      <c r="G26" s="58"/>
      <c r="H26" s="58"/>
      <c r="I26" s="57"/>
    </row>
    <row r="27" spans="2:15" ht="40.049999999999997" customHeight="1" x14ac:dyDescent="0.65">
      <c r="B27" s="23"/>
      <c r="C27" s="19" t="s">
        <v>122</v>
      </c>
      <c r="D27" s="5">
        <v>4</v>
      </c>
      <c r="E27" s="20" t="s">
        <v>123</v>
      </c>
      <c r="G27" s="58"/>
      <c r="H27" s="58"/>
      <c r="I27" s="57"/>
    </row>
    <row r="28" spans="2:15" ht="40.049999999999997" customHeight="1" x14ac:dyDescent="0.65">
      <c r="B28" s="23"/>
      <c r="C28" s="19" t="s">
        <v>124</v>
      </c>
      <c r="D28" s="5">
        <v>3</v>
      </c>
      <c r="E28" s="20" t="s">
        <v>125</v>
      </c>
      <c r="G28" s="58"/>
      <c r="H28" s="58"/>
      <c r="I28" s="57"/>
    </row>
    <row r="29" spans="2:15" ht="40.049999999999997" customHeight="1" x14ac:dyDescent="0.65">
      <c r="B29" s="23"/>
      <c r="C29" s="19" t="s">
        <v>126</v>
      </c>
      <c r="D29" s="5">
        <v>2</v>
      </c>
      <c r="E29" s="20" t="s">
        <v>127</v>
      </c>
      <c r="G29" s="58"/>
      <c r="H29" s="58"/>
      <c r="I29" s="57"/>
    </row>
    <row r="30" spans="2:15" ht="40.049999999999997" customHeight="1" x14ac:dyDescent="0.65">
      <c r="B30" s="23"/>
      <c r="C30" s="19" t="s">
        <v>128</v>
      </c>
      <c r="D30" s="5">
        <v>1</v>
      </c>
      <c r="E30" s="20" t="s">
        <v>129</v>
      </c>
      <c r="G30" s="58"/>
      <c r="H30" s="58"/>
      <c r="I30" s="57"/>
    </row>
    <row r="31" spans="2:15" ht="40.049999999999997" customHeight="1" x14ac:dyDescent="0.65">
      <c r="B31" s="23"/>
      <c r="C31" s="19" t="s">
        <v>88</v>
      </c>
      <c r="D31" s="5">
        <v>0</v>
      </c>
      <c r="E31" s="20" t="s">
        <v>130</v>
      </c>
      <c r="G31" s="58"/>
      <c r="H31" s="58"/>
      <c r="I31" s="57"/>
    </row>
    <row r="32" spans="2:15" ht="21" x14ac:dyDescent="0.65">
      <c r="B32" s="23"/>
    </row>
    <row r="33" spans="2:19" ht="21" x14ac:dyDescent="0.65">
      <c r="B33" s="23" t="str">
        <f>E34</f>
        <v>Sales Force Readiness</v>
      </c>
    </row>
    <row r="34" spans="2:19" ht="39" customHeight="1" x14ac:dyDescent="0.45">
      <c r="B34" s="24"/>
      <c r="C34" s="21" t="s">
        <v>90</v>
      </c>
      <c r="D34" s="21" t="s">
        <v>89</v>
      </c>
      <c r="E34" s="21" t="s">
        <v>335</v>
      </c>
    </row>
    <row r="35" spans="2:19" ht="39" customHeight="1" x14ac:dyDescent="0.65">
      <c r="B35" s="23"/>
      <c r="C35" s="19" t="s">
        <v>313</v>
      </c>
      <c r="D35" s="5">
        <v>5</v>
      </c>
      <c r="E35" s="20" t="s">
        <v>307</v>
      </c>
    </row>
    <row r="36" spans="2:19" ht="39" customHeight="1" x14ac:dyDescent="0.65">
      <c r="B36" s="23"/>
      <c r="C36" s="19" t="s">
        <v>314</v>
      </c>
      <c r="D36" s="5">
        <v>4</v>
      </c>
      <c r="E36" s="20" t="s">
        <v>308</v>
      </c>
    </row>
    <row r="37" spans="2:19" ht="39" customHeight="1" x14ac:dyDescent="0.65">
      <c r="B37" s="23"/>
      <c r="C37" s="19" t="s">
        <v>315</v>
      </c>
      <c r="D37" s="5">
        <v>3</v>
      </c>
      <c r="E37" s="20" t="s">
        <v>309</v>
      </c>
    </row>
    <row r="38" spans="2:19" ht="39" customHeight="1" x14ac:dyDescent="0.65">
      <c r="B38" s="23"/>
      <c r="C38" s="19" t="s">
        <v>316</v>
      </c>
      <c r="D38" s="5">
        <v>2</v>
      </c>
      <c r="E38" s="20" t="s">
        <v>310</v>
      </c>
    </row>
    <row r="39" spans="2:19" ht="39" customHeight="1" x14ac:dyDescent="0.65">
      <c r="B39" s="23"/>
      <c r="C39" s="19" t="s">
        <v>317</v>
      </c>
      <c r="D39" s="5">
        <v>1</v>
      </c>
      <c r="E39" s="20" t="s">
        <v>311</v>
      </c>
    </row>
    <row r="40" spans="2:19" ht="39" customHeight="1" x14ac:dyDescent="0.65">
      <c r="B40" s="23"/>
      <c r="C40" s="19" t="s">
        <v>88</v>
      </c>
      <c r="D40" s="5">
        <v>0</v>
      </c>
      <c r="E40" s="20" t="s">
        <v>312</v>
      </c>
    </row>
    <row r="41" spans="2:19" ht="21" x14ac:dyDescent="0.65">
      <c r="B41" s="23"/>
    </row>
    <row r="42" spans="2:19" ht="21" x14ac:dyDescent="0.65">
      <c r="B42" s="23" t="str">
        <f>K46</f>
        <v>Private Market</v>
      </c>
    </row>
    <row r="43" spans="2:19" ht="21" x14ac:dyDescent="0.65">
      <c r="B43" s="23" t="str">
        <f>I46</f>
        <v>Product Complexity</v>
      </c>
    </row>
    <row r="44" spans="2:19" ht="21" x14ac:dyDescent="0.65">
      <c r="B44" s="23" t="str">
        <f>G46</f>
        <v>Regulatory</v>
      </c>
    </row>
    <row r="45" spans="2:19" ht="21" x14ac:dyDescent="0.65">
      <c r="B45" s="23" t="str">
        <f>E46</f>
        <v>Business Development</v>
      </c>
    </row>
    <row r="46" spans="2:19" s="22" customFormat="1" ht="36.5" customHeight="1" x14ac:dyDescent="0.45">
      <c r="B46" s="24"/>
      <c r="C46" s="21" t="s">
        <v>90</v>
      </c>
      <c r="D46" s="21" t="s">
        <v>89</v>
      </c>
      <c r="E46" s="21" t="s">
        <v>139</v>
      </c>
      <c r="G46" s="21" t="s">
        <v>81</v>
      </c>
      <c r="I46" s="21" t="s">
        <v>78</v>
      </c>
      <c r="K46" s="21" t="s">
        <v>82</v>
      </c>
      <c r="L46"/>
      <c r="M46"/>
      <c r="N46"/>
      <c r="O46"/>
      <c r="P46"/>
      <c r="Q46"/>
      <c r="R46"/>
      <c r="S46"/>
    </row>
    <row r="47" spans="2:19" ht="40.049999999999997" customHeight="1" x14ac:dyDescent="0.65">
      <c r="B47" s="23"/>
      <c r="C47" s="19" t="s">
        <v>146</v>
      </c>
      <c r="D47" s="5">
        <v>5</v>
      </c>
      <c r="E47" s="20" t="s">
        <v>331</v>
      </c>
      <c r="G47" s="20" t="s">
        <v>151</v>
      </c>
      <c r="I47" s="20" t="s">
        <v>174</v>
      </c>
      <c r="K47" s="20" t="s">
        <v>140</v>
      </c>
    </row>
    <row r="48" spans="2:19" ht="40.049999999999997" customHeight="1" x14ac:dyDescent="0.65">
      <c r="B48" s="23"/>
      <c r="C48" s="19" t="s">
        <v>147</v>
      </c>
      <c r="D48" s="5">
        <v>4</v>
      </c>
      <c r="E48" s="20" t="s">
        <v>326</v>
      </c>
      <c r="G48" s="20" t="s">
        <v>152</v>
      </c>
      <c r="I48" s="20" t="s">
        <v>175</v>
      </c>
      <c r="K48" s="20" t="s">
        <v>141</v>
      </c>
    </row>
    <row r="49" spans="2:11" ht="40.049999999999997" customHeight="1" x14ac:dyDescent="0.65">
      <c r="B49" s="23"/>
      <c r="C49" s="19" t="s">
        <v>148</v>
      </c>
      <c r="D49" s="5">
        <v>3</v>
      </c>
      <c r="E49" s="20" t="s">
        <v>327</v>
      </c>
      <c r="G49" s="20" t="s">
        <v>153</v>
      </c>
      <c r="I49" s="20" t="s">
        <v>176</v>
      </c>
      <c r="K49" s="20" t="s">
        <v>142</v>
      </c>
    </row>
    <row r="50" spans="2:11" ht="40.049999999999997" customHeight="1" x14ac:dyDescent="0.65">
      <c r="B50" s="23"/>
      <c r="C50" s="19" t="s">
        <v>149</v>
      </c>
      <c r="D50" s="5">
        <v>2</v>
      </c>
      <c r="E50" s="20" t="s">
        <v>328</v>
      </c>
      <c r="G50" s="20" t="s">
        <v>154</v>
      </c>
      <c r="I50" s="20" t="s">
        <v>177</v>
      </c>
      <c r="K50" s="20" t="s">
        <v>143</v>
      </c>
    </row>
    <row r="51" spans="2:11" ht="40.049999999999997" customHeight="1" x14ac:dyDescent="0.65">
      <c r="B51" s="23"/>
      <c r="C51" s="19" t="s">
        <v>150</v>
      </c>
      <c r="D51" s="5">
        <v>1</v>
      </c>
      <c r="E51" s="20" t="s">
        <v>329</v>
      </c>
      <c r="G51" s="20" t="s">
        <v>155</v>
      </c>
      <c r="I51" s="20" t="s">
        <v>178</v>
      </c>
      <c r="K51" s="20" t="s">
        <v>144</v>
      </c>
    </row>
    <row r="52" spans="2:11" ht="40.049999999999997" customHeight="1" x14ac:dyDescent="0.65">
      <c r="B52" s="23"/>
      <c r="C52" s="19" t="s">
        <v>88</v>
      </c>
      <c r="D52" s="5">
        <v>0</v>
      </c>
      <c r="E52" s="20" t="s">
        <v>330</v>
      </c>
      <c r="G52" s="20" t="s">
        <v>156</v>
      </c>
      <c r="I52" s="20" t="s">
        <v>157</v>
      </c>
      <c r="K52" s="20" t="s">
        <v>145</v>
      </c>
    </row>
    <row r="53" spans="2:11" ht="21" x14ac:dyDescent="0.65">
      <c r="B53" s="23"/>
    </row>
    <row r="54" spans="2:11" ht="21" x14ac:dyDescent="0.65">
      <c r="B54" s="23" t="str">
        <f>E55</f>
        <v>Strategic Fit With JMI Portfolio</v>
      </c>
    </row>
    <row r="55" spans="2:11" ht="40.049999999999997" customHeight="1" x14ac:dyDescent="0.45">
      <c r="C55" s="21" t="s">
        <v>90</v>
      </c>
      <c r="D55" s="21" t="s">
        <v>89</v>
      </c>
      <c r="E55" s="21" t="s">
        <v>334</v>
      </c>
    </row>
    <row r="56" spans="2:11" ht="40.049999999999997" customHeight="1" x14ac:dyDescent="0.45">
      <c r="C56" s="19" t="s">
        <v>292</v>
      </c>
      <c r="D56" s="5">
        <v>5</v>
      </c>
      <c r="E56" s="20" t="s">
        <v>293</v>
      </c>
    </row>
    <row r="57" spans="2:11" ht="40.049999999999997" customHeight="1" x14ac:dyDescent="0.45">
      <c r="C57" s="19" t="s">
        <v>294</v>
      </c>
      <c r="D57" s="5">
        <v>4</v>
      </c>
      <c r="E57" s="20" t="s">
        <v>295</v>
      </c>
    </row>
    <row r="58" spans="2:11" ht="40.049999999999997" customHeight="1" x14ac:dyDescent="0.45">
      <c r="C58" s="19" t="s">
        <v>296</v>
      </c>
      <c r="D58" s="5">
        <v>3</v>
      </c>
      <c r="E58" s="20" t="s">
        <v>297</v>
      </c>
    </row>
    <row r="59" spans="2:11" ht="40.049999999999997" customHeight="1" x14ac:dyDescent="0.45">
      <c r="C59" s="19" t="s">
        <v>298</v>
      </c>
      <c r="D59" s="5">
        <v>2</v>
      </c>
      <c r="E59" s="20" t="s">
        <v>299</v>
      </c>
    </row>
    <row r="60" spans="2:11" ht="40.049999999999997" customHeight="1" x14ac:dyDescent="0.45">
      <c r="C60" s="19" t="s">
        <v>300</v>
      </c>
      <c r="D60" s="5">
        <v>1</v>
      </c>
      <c r="E60" s="20" t="s">
        <v>301</v>
      </c>
    </row>
    <row r="61" spans="2:11" ht="40.049999999999997" customHeight="1" x14ac:dyDescent="0.45">
      <c r="C61" s="19" t="s">
        <v>302</v>
      </c>
      <c r="D61" s="5">
        <v>0</v>
      </c>
      <c r="E61" s="20" t="s">
        <v>303</v>
      </c>
    </row>
    <row r="63" spans="2:11" ht="21" x14ac:dyDescent="0.65">
      <c r="B63" s="23" t="str">
        <f>E64</f>
        <v>Operational Complexity</v>
      </c>
    </row>
    <row r="64" spans="2:11" ht="39" customHeight="1" x14ac:dyDescent="0.45">
      <c r="C64" s="59" t="s">
        <v>90</v>
      </c>
      <c r="D64" s="59" t="s">
        <v>89</v>
      </c>
      <c r="E64" s="59" t="s">
        <v>79</v>
      </c>
    </row>
    <row r="65" spans="2:5" ht="39" customHeight="1" x14ac:dyDescent="0.45">
      <c r="C65" s="19" t="s">
        <v>287</v>
      </c>
      <c r="D65" s="5">
        <v>1</v>
      </c>
      <c r="E65" s="20" t="s">
        <v>165</v>
      </c>
    </row>
    <row r="66" spans="2:5" ht="39" customHeight="1" x14ac:dyDescent="0.45">
      <c r="C66" s="19" t="s">
        <v>228</v>
      </c>
      <c r="D66" s="5">
        <v>2</v>
      </c>
      <c r="E66" s="20" t="s">
        <v>164</v>
      </c>
    </row>
    <row r="67" spans="2:5" ht="39" customHeight="1" x14ac:dyDescent="0.45">
      <c r="C67" s="19" t="s">
        <v>148</v>
      </c>
      <c r="D67" s="5">
        <v>3</v>
      </c>
      <c r="E67" s="20" t="s">
        <v>163</v>
      </c>
    </row>
    <row r="68" spans="2:5" ht="39" customHeight="1" x14ac:dyDescent="0.45">
      <c r="C68" s="19" t="s">
        <v>288</v>
      </c>
      <c r="D68" s="5">
        <v>4</v>
      </c>
      <c r="E68" s="20" t="s">
        <v>162</v>
      </c>
    </row>
    <row r="69" spans="2:5" ht="39" customHeight="1" x14ac:dyDescent="0.45">
      <c r="C69" s="19" t="s">
        <v>289</v>
      </c>
      <c r="D69" s="5">
        <v>5</v>
      </c>
      <c r="E69" s="20" t="s">
        <v>161</v>
      </c>
    </row>
    <row r="70" spans="2:5" ht="39" customHeight="1" x14ac:dyDescent="0.45">
      <c r="C70" s="19" t="s">
        <v>88</v>
      </c>
      <c r="D70" s="5">
        <v>0</v>
      </c>
      <c r="E70" s="20" t="s">
        <v>160</v>
      </c>
    </row>
    <row r="73" spans="2:5" ht="21" x14ac:dyDescent="0.65">
      <c r="B73" s="23" t="str">
        <f>E74</f>
        <v>Time To Market</v>
      </c>
    </row>
    <row r="74" spans="2:5" ht="40.049999999999997" customHeight="1" x14ac:dyDescent="0.45">
      <c r="C74" s="21" t="s">
        <v>90</v>
      </c>
      <c r="D74" s="21" t="s">
        <v>89</v>
      </c>
      <c r="E74" s="21" t="s">
        <v>336</v>
      </c>
    </row>
    <row r="75" spans="2:5" ht="40.049999999999997" customHeight="1" x14ac:dyDescent="0.45">
      <c r="C75" s="19" t="s">
        <v>215</v>
      </c>
      <c r="D75" s="5">
        <v>5</v>
      </c>
      <c r="E75" s="41" t="s">
        <v>222</v>
      </c>
    </row>
    <row r="76" spans="2:5" ht="40.049999999999997" customHeight="1" x14ac:dyDescent="0.45">
      <c r="C76" s="19" t="s">
        <v>216</v>
      </c>
      <c r="D76" s="5">
        <v>4</v>
      </c>
      <c r="E76" s="20" t="s">
        <v>221</v>
      </c>
    </row>
    <row r="77" spans="2:5" ht="40.049999999999997" customHeight="1" x14ac:dyDescent="0.45">
      <c r="C77" s="19" t="s">
        <v>84</v>
      </c>
      <c r="D77" s="5">
        <v>3</v>
      </c>
      <c r="E77" s="20" t="s">
        <v>220</v>
      </c>
    </row>
    <row r="78" spans="2:5" ht="40.049999999999997" customHeight="1" x14ac:dyDescent="0.45">
      <c r="C78" s="19" t="s">
        <v>217</v>
      </c>
      <c r="D78" s="5">
        <v>2</v>
      </c>
      <c r="E78" s="41" t="s">
        <v>218</v>
      </c>
    </row>
    <row r="79" spans="2:5" ht="40.049999999999997" customHeight="1" x14ac:dyDescent="0.45">
      <c r="C79" s="19" t="s">
        <v>212</v>
      </c>
      <c r="D79" s="5">
        <v>1</v>
      </c>
      <c r="E79" s="20" t="s">
        <v>219</v>
      </c>
    </row>
    <row r="80" spans="2:5" ht="40.049999999999997" customHeight="1" x14ac:dyDescent="0.45">
      <c r="C80" s="19" t="s">
        <v>88</v>
      </c>
      <c r="D80" s="5">
        <v>0</v>
      </c>
      <c r="E80" s="20" t="s">
        <v>213</v>
      </c>
    </row>
    <row r="83" spans="2:9" ht="21" x14ac:dyDescent="0.65">
      <c r="B83" s="23" t="str">
        <f>E84</f>
        <v>Y01 Revenues
(SAR in Millions)</v>
      </c>
    </row>
    <row r="84" spans="2:9" ht="40.049999999999997" customHeight="1" x14ac:dyDescent="0.45">
      <c r="C84" s="21" t="s">
        <v>90</v>
      </c>
      <c r="D84" s="21" t="s">
        <v>89</v>
      </c>
      <c r="E84" s="21" t="s">
        <v>195</v>
      </c>
      <c r="G84" s="21" t="s">
        <v>85</v>
      </c>
      <c r="I84" s="21" t="s">
        <v>83</v>
      </c>
    </row>
    <row r="85" spans="2:9" ht="40.049999999999997" customHeight="1" x14ac:dyDescent="0.45">
      <c r="C85" s="19" t="s">
        <v>88</v>
      </c>
      <c r="D85" s="5">
        <v>0</v>
      </c>
      <c r="E85" s="20" t="s">
        <v>192</v>
      </c>
      <c r="G85" s="14">
        <f t="shared" ref="G85:G89" si="0">IF(ISNUMBER(SEARCH("not available",E85)),0,
IF(LEFT(E85,1)="≥",25,
VALUE(SUBSTITUTE(LEFT(E85,FIND("–",E85)-1),"M",""))))</f>
        <v>0</v>
      </c>
      <c r="I85" s="14">
        <f>IF(ISNUMBER(SEARCH("not available",E85)),0,
IF(LEFT(E85,1)="≥",10000,
VALUE(SUBSTITUTE(MID(E85,FIND("–",E85)+1,50),"M",""))))</f>
        <v>0</v>
      </c>
    </row>
    <row r="86" spans="2:9" ht="40.049999999999997" customHeight="1" x14ac:dyDescent="0.45">
      <c r="C86" s="19" t="s">
        <v>86</v>
      </c>
      <c r="D86" s="5">
        <v>1</v>
      </c>
      <c r="E86" s="20" t="s">
        <v>194</v>
      </c>
      <c r="G86" s="14">
        <f t="shared" si="0"/>
        <v>0.1</v>
      </c>
      <c r="I86" s="14">
        <f t="shared" ref="I86:I90" si="1">IF(ISNUMBER(SEARCH("not available",E86)),0,
IF(LEFT(E86,1)="≥",10000,
VALUE(SUBSTITUTE(MID(E86,FIND("–",E86)+1,50),"M",""))))</f>
        <v>0.99</v>
      </c>
    </row>
    <row r="87" spans="2:9" ht="40.049999999999997" customHeight="1" x14ac:dyDescent="0.45">
      <c r="C87" s="19" t="s">
        <v>85</v>
      </c>
      <c r="D87" s="5">
        <v>2</v>
      </c>
      <c r="E87" s="20" t="s">
        <v>196</v>
      </c>
      <c r="G87" s="14">
        <f t="shared" si="0"/>
        <v>1</v>
      </c>
      <c r="I87" s="14">
        <f t="shared" si="1"/>
        <v>4.9000000000000004</v>
      </c>
    </row>
    <row r="88" spans="2:9" ht="40.049999999999997" customHeight="1" x14ac:dyDescent="0.45">
      <c r="C88" s="19" t="s">
        <v>84</v>
      </c>
      <c r="D88" s="5">
        <v>3</v>
      </c>
      <c r="E88" s="20" t="s">
        <v>197</v>
      </c>
      <c r="G88" s="14">
        <f t="shared" si="0"/>
        <v>5</v>
      </c>
      <c r="I88" s="14">
        <f t="shared" si="1"/>
        <v>14.9</v>
      </c>
    </row>
    <row r="89" spans="2:9" ht="40.049999999999997" customHeight="1" x14ac:dyDescent="0.45">
      <c r="C89" s="19" t="s">
        <v>83</v>
      </c>
      <c r="D89" s="5">
        <v>4</v>
      </c>
      <c r="E89" s="20" t="s">
        <v>198</v>
      </c>
      <c r="G89" s="14">
        <f t="shared" si="0"/>
        <v>15</v>
      </c>
      <c r="I89" s="14">
        <f t="shared" si="1"/>
        <v>24.9</v>
      </c>
    </row>
    <row r="90" spans="2:9" ht="40.049999999999997" customHeight="1" x14ac:dyDescent="0.45">
      <c r="C90" s="19" t="s">
        <v>87</v>
      </c>
      <c r="D90" s="5">
        <v>5</v>
      </c>
      <c r="E90" s="20" t="s">
        <v>193</v>
      </c>
      <c r="G90" s="14">
        <f>IF(ISNUMBER(SEARCH("not available",E90)),0,
IF(LEFT(E90,1)="≥",25,
VALUE(SUBSTITUTE(LEFT(E90,FIND("–",E90)-1),"M",""))))</f>
        <v>25</v>
      </c>
      <c r="I90" s="14">
        <f t="shared" si="1"/>
        <v>10000</v>
      </c>
    </row>
    <row r="92" spans="2:9" ht="21" x14ac:dyDescent="0.65">
      <c r="B92" s="23" t="str">
        <f>E93</f>
        <v>Y05 Revenues
(SAR in Millions)</v>
      </c>
    </row>
    <row r="93" spans="2:9" ht="40.049999999999997" customHeight="1" x14ac:dyDescent="0.45">
      <c r="C93" s="21" t="s">
        <v>90</v>
      </c>
      <c r="D93" s="21" t="s">
        <v>89</v>
      </c>
      <c r="E93" s="21" t="s">
        <v>211</v>
      </c>
      <c r="G93" s="21" t="s">
        <v>85</v>
      </c>
      <c r="I93" s="21" t="s">
        <v>83</v>
      </c>
    </row>
    <row r="94" spans="2:9" ht="40.049999999999997" customHeight="1" x14ac:dyDescent="0.45">
      <c r="C94" s="19" t="s">
        <v>88</v>
      </c>
      <c r="D94" s="5">
        <v>0</v>
      </c>
      <c r="E94" s="20" t="s">
        <v>192</v>
      </c>
      <c r="G94" s="14">
        <f t="shared" ref="G94:G98" si="2">IF(ISNUMBER(SEARCH("not available",E94)),0,
IF(LEFT(E94,1)="≥",25,
VALUE(SUBSTITUTE(LEFT(E94,FIND("–",E94)-1),"M",""))))</f>
        <v>0</v>
      </c>
      <c r="I94" s="14">
        <f>IF(ISNUMBER(SEARCH("not available",E94)),0,
IF(LEFT(E94,1)="≥",10000,
VALUE(SUBSTITUTE(MID(E94,FIND("–",E94)+1,50),"M",""))))</f>
        <v>0</v>
      </c>
    </row>
    <row r="95" spans="2:9" ht="40.049999999999997" customHeight="1" x14ac:dyDescent="0.45">
      <c r="C95" s="19" t="s">
        <v>86</v>
      </c>
      <c r="D95" s="5">
        <v>1</v>
      </c>
      <c r="E95" s="20" t="s">
        <v>197</v>
      </c>
      <c r="G95" s="14">
        <f t="shared" si="2"/>
        <v>5</v>
      </c>
      <c r="I95" s="14">
        <f t="shared" ref="I95:I99" si="3">IF(ISNUMBER(SEARCH("not available",E95)),0,
IF(LEFT(E95,1)="≥",10000,
VALUE(SUBSTITUTE(MID(E95,FIND("–",E95)+1,50),"M",""))))</f>
        <v>14.9</v>
      </c>
    </row>
    <row r="96" spans="2:9" ht="40.049999999999997" customHeight="1" x14ac:dyDescent="0.45">
      <c r="C96" s="19" t="s">
        <v>85</v>
      </c>
      <c r="D96" s="5">
        <v>2</v>
      </c>
      <c r="E96" s="20" t="s">
        <v>198</v>
      </c>
      <c r="G96" s="14">
        <f t="shared" si="2"/>
        <v>15</v>
      </c>
      <c r="I96" s="14">
        <f t="shared" si="3"/>
        <v>24.9</v>
      </c>
    </row>
    <row r="97" spans="2:9" ht="40.049999999999997" customHeight="1" x14ac:dyDescent="0.45">
      <c r="C97" s="19" t="s">
        <v>84</v>
      </c>
      <c r="D97" s="5">
        <v>3</v>
      </c>
      <c r="E97" s="20" t="s">
        <v>199</v>
      </c>
      <c r="G97" s="14">
        <f t="shared" si="2"/>
        <v>25</v>
      </c>
      <c r="I97" s="14">
        <f t="shared" si="3"/>
        <v>29.9</v>
      </c>
    </row>
    <row r="98" spans="2:9" ht="40.049999999999997" customHeight="1" x14ac:dyDescent="0.45">
      <c r="C98" s="19" t="s">
        <v>83</v>
      </c>
      <c r="D98" s="5">
        <v>4</v>
      </c>
      <c r="E98" s="20" t="s">
        <v>200</v>
      </c>
      <c r="G98" s="14">
        <f t="shared" si="2"/>
        <v>30</v>
      </c>
      <c r="I98" s="14">
        <f t="shared" si="3"/>
        <v>34.9</v>
      </c>
    </row>
    <row r="99" spans="2:9" ht="40.049999999999997" customHeight="1" x14ac:dyDescent="0.45">
      <c r="C99" s="19" t="s">
        <v>87</v>
      </c>
      <c r="D99" s="5">
        <v>5</v>
      </c>
      <c r="E99" s="20" t="s">
        <v>201</v>
      </c>
      <c r="G99" s="14">
        <f>IF(ISNUMBER(SEARCH("not available",E99)),0,
IF(LEFT(E99,1)="≥",35,
VALUE(SUBSTITUTE(LEFT(E99,FIND("–",E99)-1),"M",""))))</f>
        <v>35</v>
      </c>
      <c r="I99" s="14">
        <f t="shared" si="3"/>
        <v>10000</v>
      </c>
    </row>
    <row r="101" spans="2:9" ht="21" x14ac:dyDescent="0.65">
      <c r="B101" s="23" t="str">
        <f>E102</f>
        <v>Project Score</v>
      </c>
    </row>
    <row r="102" spans="2:9" ht="39" customHeight="1" x14ac:dyDescent="0.45">
      <c r="C102" s="21" t="s">
        <v>90</v>
      </c>
      <c r="D102" s="21" t="s">
        <v>89</v>
      </c>
      <c r="E102" s="21" t="s">
        <v>202</v>
      </c>
      <c r="G102" s="21" t="s">
        <v>85</v>
      </c>
      <c r="I102" s="21" t="s">
        <v>83</v>
      </c>
    </row>
    <row r="103" spans="2:9" ht="39" customHeight="1" x14ac:dyDescent="0.45">
      <c r="C103" s="19" t="s">
        <v>88</v>
      </c>
      <c r="D103" s="5">
        <v>0</v>
      </c>
      <c r="E103" s="20" t="s">
        <v>210</v>
      </c>
      <c r="G103" s="14">
        <v>0</v>
      </c>
      <c r="I103" s="14">
        <v>0.49</v>
      </c>
    </row>
    <row r="104" spans="2:9" ht="39" customHeight="1" x14ac:dyDescent="0.45">
      <c r="C104" s="19" t="s">
        <v>159</v>
      </c>
      <c r="D104" s="5">
        <v>1</v>
      </c>
      <c r="E104" s="20" t="s">
        <v>209</v>
      </c>
      <c r="G104" s="14">
        <f>I103+0.01</f>
        <v>0.5</v>
      </c>
      <c r="I104" s="14">
        <v>1.49</v>
      </c>
    </row>
    <row r="105" spans="2:9" ht="39" customHeight="1" x14ac:dyDescent="0.45">
      <c r="C105" s="19" t="s">
        <v>158</v>
      </c>
      <c r="D105" s="5">
        <v>2</v>
      </c>
      <c r="E105" s="20" t="s">
        <v>208</v>
      </c>
      <c r="G105" s="14">
        <f>I104+0.01</f>
        <v>1.5</v>
      </c>
      <c r="I105" s="14">
        <f>G105+0.99</f>
        <v>2.4900000000000002</v>
      </c>
    </row>
    <row r="106" spans="2:9" ht="39" customHeight="1" x14ac:dyDescent="0.45">
      <c r="C106" s="19" t="s">
        <v>148</v>
      </c>
      <c r="D106" s="5">
        <v>3</v>
      </c>
      <c r="E106" s="20" t="s">
        <v>207</v>
      </c>
      <c r="G106" s="14">
        <f>I105+0.01</f>
        <v>2.5</v>
      </c>
      <c r="I106" s="14">
        <f>G106+0.99</f>
        <v>3.49</v>
      </c>
    </row>
    <row r="107" spans="2:9" ht="39" customHeight="1" x14ac:dyDescent="0.45">
      <c r="C107" s="19" t="s">
        <v>205</v>
      </c>
      <c r="D107" s="5">
        <v>4</v>
      </c>
      <c r="E107" s="20" t="s">
        <v>206</v>
      </c>
      <c r="G107" s="14">
        <f>I106+0.01</f>
        <v>3.5</v>
      </c>
      <c r="I107" s="14">
        <f>G107+0.99</f>
        <v>4.49</v>
      </c>
    </row>
    <row r="108" spans="2:9" ht="39" customHeight="1" x14ac:dyDescent="0.45">
      <c r="C108" s="19" t="s">
        <v>203</v>
      </c>
      <c r="D108" s="5">
        <v>5</v>
      </c>
      <c r="E108" s="20" t="s">
        <v>204</v>
      </c>
      <c r="G108" s="14">
        <f>I107+0.01</f>
        <v>4.5</v>
      </c>
      <c r="I108" s="14">
        <v>5</v>
      </c>
    </row>
    <row r="111" spans="2:9" ht="21" x14ac:dyDescent="0.65">
      <c r="B111" s="23" t="str">
        <f>E112</f>
        <v>Gross Margin Potential</v>
      </c>
    </row>
    <row r="112" spans="2:9" ht="39" customHeight="1" x14ac:dyDescent="0.45">
      <c r="C112" s="21" t="s">
        <v>90</v>
      </c>
      <c r="D112" s="21" t="s">
        <v>89</v>
      </c>
      <c r="E112" s="21" t="s">
        <v>71</v>
      </c>
      <c r="G112" s="21" t="s">
        <v>85</v>
      </c>
      <c r="I112" s="21" t="s">
        <v>83</v>
      </c>
    </row>
    <row r="113" spans="3:9" ht="39" customHeight="1" x14ac:dyDescent="0.45">
      <c r="C113" s="19" t="s">
        <v>88</v>
      </c>
      <c r="D113" s="5">
        <v>0</v>
      </c>
      <c r="E113" s="20" t="s">
        <v>192</v>
      </c>
      <c r="G113" s="14">
        <f t="shared" ref="G113" si="4">IF(ISNUMBER(SEARCH("not available",E113)),0,
IF(LEFT(E113,1)="≥",25,
VALUE(SUBSTITUTE(LEFT(E113,FIND("–",E113)-1),"M",""))))</f>
        <v>0</v>
      </c>
      <c r="I113" s="14">
        <f>IF(ISNUMBER(SEARCH("not available",E113)),0,
IF(LEFT(E113,1)="≥",10000,
VALUE(SUBSTITUTE(MID(E113,FIND("–",E113)+1,50),"M",""))))</f>
        <v>0</v>
      </c>
    </row>
    <row r="114" spans="3:9" ht="39" customHeight="1" x14ac:dyDescent="0.45">
      <c r="C114" s="19" t="s">
        <v>345</v>
      </c>
      <c r="D114" s="5">
        <v>1</v>
      </c>
      <c r="E114" s="20" t="s">
        <v>349</v>
      </c>
      <c r="G114" s="14">
        <f>I113+0.001</f>
        <v>1E-3</v>
      </c>
      <c r="I114" s="14">
        <f>MID(E114,3,2)/100</f>
        <v>0.15</v>
      </c>
    </row>
    <row r="115" spans="3:9" ht="39" customHeight="1" x14ac:dyDescent="0.45">
      <c r="C115" s="19" t="s">
        <v>344</v>
      </c>
      <c r="D115" s="5">
        <v>2</v>
      </c>
      <c r="E115" s="20" t="s">
        <v>348</v>
      </c>
      <c r="G115" s="14">
        <f>I114+0.001</f>
        <v>0.151</v>
      </c>
      <c r="I115" s="14">
        <f t="shared" ref="I115:I117" si="5">IF(ISNUMBER(SEARCH("not available",E115)),0,
IF(LEFT(E115,1)="≥",10000,
VALUE(SUBSTITUTE(MID(E115,FIND("–",E115)+1,50),"M",""))))</f>
        <v>0.25</v>
      </c>
    </row>
    <row r="116" spans="3:9" ht="39" customHeight="1" x14ac:dyDescent="0.45">
      <c r="C116" s="19" t="s">
        <v>343</v>
      </c>
      <c r="D116" s="5">
        <v>3</v>
      </c>
      <c r="E116" s="20" t="s">
        <v>347</v>
      </c>
      <c r="G116" s="14">
        <f>I115+0.001</f>
        <v>0.251</v>
      </c>
      <c r="I116" s="14">
        <f t="shared" si="5"/>
        <v>0.35</v>
      </c>
    </row>
    <row r="117" spans="3:9" ht="39" customHeight="1" x14ac:dyDescent="0.45">
      <c r="C117" s="19" t="s">
        <v>342</v>
      </c>
      <c r="D117" s="5">
        <v>4</v>
      </c>
      <c r="E117" s="20" t="s">
        <v>346</v>
      </c>
      <c r="G117" s="14">
        <f>I116+0.001</f>
        <v>0.35099999999999998</v>
      </c>
      <c r="I117" s="14">
        <f t="shared" si="5"/>
        <v>0.45</v>
      </c>
    </row>
    <row r="118" spans="3:9" ht="39" customHeight="1" x14ac:dyDescent="0.45">
      <c r="C118" s="19" t="s">
        <v>341</v>
      </c>
      <c r="D118" s="5">
        <v>5</v>
      </c>
      <c r="E118" s="20" t="s">
        <v>340</v>
      </c>
      <c r="G118" s="14">
        <f>I117+0.001</f>
        <v>0.45100000000000001</v>
      </c>
      <c r="I118" s="68">
        <v>1</v>
      </c>
    </row>
  </sheetData>
  <sortState xmlns:xlrd2="http://schemas.microsoft.com/office/spreadsheetml/2017/richdata2" ref="C113:D118">
    <sortCondition ref="D113:D118"/>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41DD-56C7-41C0-B0DD-1C25818D0464}">
  <dimension ref="B3:H19"/>
  <sheetViews>
    <sheetView showGridLines="0" workbookViewId="0">
      <selection activeCell="I16" sqref="I16"/>
    </sheetView>
  </sheetViews>
  <sheetFormatPr defaultRowHeight="14.25" x14ac:dyDescent="0.45"/>
  <cols>
    <col min="2" max="2" width="18.9296875" bestFit="1" customWidth="1"/>
    <col min="3" max="7" width="15.19921875" customWidth="1"/>
    <col min="8" max="8" width="17.796875" customWidth="1"/>
  </cols>
  <sheetData>
    <row r="3" spans="2:8" ht="18" x14ac:dyDescent="0.55000000000000004">
      <c r="B3" s="49" t="s">
        <v>271</v>
      </c>
    </row>
    <row r="4" spans="2:8" ht="28.5" x14ac:dyDescent="0.45">
      <c r="B4" s="47" t="s">
        <v>68</v>
      </c>
      <c r="C4" s="47" t="s">
        <v>184</v>
      </c>
      <c r="D4" s="47" t="s">
        <v>259</v>
      </c>
      <c r="E4" s="47" t="s">
        <v>89</v>
      </c>
      <c r="F4" s="47" t="s">
        <v>260</v>
      </c>
      <c r="G4" s="47" t="s">
        <v>274</v>
      </c>
      <c r="H4" s="47" t="s">
        <v>261</v>
      </c>
    </row>
    <row r="5" spans="2:8" x14ac:dyDescent="0.45">
      <c r="B5" s="34" t="s">
        <v>69</v>
      </c>
      <c r="C5" s="48" t="s">
        <v>185</v>
      </c>
      <c r="D5" s="48" t="s">
        <v>266</v>
      </c>
      <c r="E5" s="48">
        <v>3.5</v>
      </c>
      <c r="F5" s="48"/>
      <c r="G5" s="48" t="s">
        <v>267</v>
      </c>
      <c r="H5" s="48"/>
    </row>
    <row r="6" spans="2:8" x14ac:dyDescent="0.45">
      <c r="B6" s="34" t="s">
        <v>70</v>
      </c>
      <c r="C6" s="48" t="s">
        <v>188</v>
      </c>
      <c r="D6" s="48" t="s">
        <v>25</v>
      </c>
      <c r="E6" s="48">
        <v>3.2</v>
      </c>
      <c r="F6" s="34"/>
      <c r="G6" s="34"/>
      <c r="H6" s="34"/>
    </row>
    <row r="7" spans="2:8" x14ac:dyDescent="0.45">
      <c r="B7" s="34" t="s">
        <v>268</v>
      </c>
      <c r="C7" s="48" t="s">
        <v>186</v>
      </c>
      <c r="D7" s="48" t="s">
        <v>21</v>
      </c>
      <c r="E7" s="48">
        <v>4.0999999999999996</v>
      </c>
      <c r="F7" s="34"/>
      <c r="G7" s="34"/>
      <c r="H7" s="34"/>
    </row>
    <row r="9" spans="2:8" ht="18" x14ac:dyDescent="0.55000000000000004">
      <c r="B9" s="49" t="s">
        <v>272</v>
      </c>
    </row>
    <row r="10" spans="2:8" x14ac:dyDescent="0.45">
      <c r="B10" s="47" t="s">
        <v>68</v>
      </c>
      <c r="C10" s="47" t="s">
        <v>184</v>
      </c>
      <c r="D10" s="47" t="s">
        <v>259</v>
      </c>
      <c r="E10" s="47" t="s">
        <v>262</v>
      </c>
      <c r="F10" s="47" t="s">
        <v>263</v>
      </c>
      <c r="G10" s="47" t="s">
        <v>264</v>
      </c>
      <c r="H10" s="47" t="s">
        <v>261</v>
      </c>
    </row>
    <row r="11" spans="2:8" x14ac:dyDescent="0.45">
      <c r="B11" s="34"/>
      <c r="C11" s="48"/>
      <c r="D11" s="34"/>
      <c r="E11" s="34"/>
      <c r="F11" s="34"/>
      <c r="G11" s="34"/>
      <c r="H11" s="34"/>
    </row>
    <row r="12" spans="2:8" x14ac:dyDescent="0.45">
      <c r="B12" s="34"/>
      <c r="C12" s="48"/>
      <c r="D12" s="34"/>
      <c r="E12" s="34"/>
      <c r="F12" s="34"/>
      <c r="G12" s="34"/>
      <c r="H12" s="34"/>
    </row>
    <row r="13" spans="2:8" x14ac:dyDescent="0.45">
      <c r="B13" s="34"/>
      <c r="C13" s="48"/>
      <c r="D13" s="34"/>
      <c r="E13" s="34"/>
      <c r="F13" s="34"/>
      <c r="G13" s="34"/>
      <c r="H13" s="34"/>
    </row>
    <row r="15" spans="2:8" ht="18" x14ac:dyDescent="0.55000000000000004">
      <c r="B15" s="49" t="s">
        <v>273</v>
      </c>
    </row>
    <row r="16" spans="2:8" s="1" customFormat="1" ht="28.5" x14ac:dyDescent="0.45">
      <c r="B16" s="47" t="s">
        <v>241</v>
      </c>
      <c r="C16" s="47" t="s">
        <v>269</v>
      </c>
      <c r="D16" s="47" t="s">
        <v>270</v>
      </c>
      <c r="E16" s="47" t="s">
        <v>259</v>
      </c>
      <c r="F16" s="47" t="s">
        <v>265</v>
      </c>
    </row>
    <row r="17" spans="2:6" x14ac:dyDescent="0.45">
      <c r="B17" s="34"/>
      <c r="C17" s="34"/>
      <c r="D17" s="34"/>
      <c r="E17" s="34"/>
      <c r="F17" s="34"/>
    </row>
    <row r="18" spans="2:6" x14ac:dyDescent="0.45">
      <c r="B18" s="34"/>
      <c r="C18" s="34"/>
      <c r="D18" s="34"/>
      <c r="E18" s="34"/>
      <c r="F18" s="34"/>
    </row>
    <row r="19" spans="2:6" x14ac:dyDescent="0.45">
      <c r="B19" s="34"/>
      <c r="C19" s="34"/>
      <c r="D19" s="34"/>
      <c r="E19" s="34"/>
      <c r="F19"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Agenda Draft 01</vt:lpstr>
      <vt:lpstr>Title</vt:lpstr>
      <vt:lpstr>Agenda V01</vt:lpstr>
      <vt:lpstr>WS</vt:lpstr>
      <vt:lpstr>Opportunity Scoring Model</vt:lpstr>
      <vt:lpstr>OSM Field</vt:lpstr>
      <vt:lpstr>OSM - Rating and Score</vt:lpstr>
      <vt:lpstr>Progress Dashboard</vt:lpstr>
      <vt:lpstr>'Agenda V01'!Print_Titles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Rao</dc:creator>
  <cp:lastModifiedBy>Faizan Rao</cp:lastModifiedBy>
  <cp:lastPrinted>2025-11-30T06:31:36Z</cp:lastPrinted>
  <dcterms:created xsi:type="dcterms:W3CDTF">2025-11-28T08:58:04Z</dcterms:created>
  <dcterms:modified xsi:type="dcterms:W3CDTF">2026-04-05T14:38:20Z</dcterms:modified>
</cp:coreProperties>
</file>